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_Nacional" sheetId="1" state="visible" r:id="rId1"/>
    <sheet name="Consolidado_Internacio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&quot;$&quot;#,##0.00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color rgb="00002060"/>
    </font>
    <font>
      <b val="1"/>
    </font>
  </fonts>
  <fills count="8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2563EB"/>
      </patternFill>
    </fill>
    <fill>
      <patternFill patternType="solid">
        <fgColor rgb="00FFFF00"/>
      </patternFill>
    </fill>
    <fill>
      <patternFill patternType="solid">
        <fgColor rgb="0092D050"/>
      </patternFill>
    </fill>
    <fill>
      <patternFill patternType="solid">
        <fgColor rgb="00B8CCE4"/>
      </patternFill>
    </fill>
    <fill>
      <patternFill patternType="solid">
        <fgColor rgb="00FCD5B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165" fontId="0" fillId="4" borderId="1" pivotButton="0" quotePrefix="0" xfId="0"/>
    <xf numFmtId="0" fontId="0" fillId="4" borderId="1" pivotButton="0" quotePrefix="0" xfId="0"/>
    <xf numFmtId="166" fontId="0" fillId="4" borderId="1" pivotButton="0" quotePrefix="0" xfId="0"/>
    <xf numFmtId="0" fontId="3" fillId="4" borderId="1" pivotButton="0" quotePrefix="0" xfId="0"/>
    <xf numFmtId="166" fontId="4" fillId="4" borderId="1" pivotButton="0" quotePrefix="0" xfId="0"/>
    <xf numFmtId="166" fontId="3" fillId="4" borderId="1" pivotButton="0" quotePrefix="0" xfId="0"/>
    <xf numFmtId="165" fontId="0" fillId="5" borderId="1" pivotButton="0" quotePrefix="0" xfId="0"/>
    <xf numFmtId="0" fontId="0" fillId="5" borderId="1" pivotButton="0" quotePrefix="0" xfId="0"/>
    <xf numFmtId="166" fontId="0" fillId="5" borderId="1" pivotButton="0" quotePrefix="0" xfId="0"/>
    <xf numFmtId="0" fontId="3" fillId="5" borderId="1" pivotButton="0" quotePrefix="0" xfId="0"/>
    <xf numFmtId="166" fontId="4" fillId="5" borderId="1" pivotButton="0" quotePrefix="0" xfId="0"/>
    <xf numFmtId="166" fontId="3" fillId="5" borderId="1" pivotButton="0" quotePrefix="0" xfId="0"/>
    <xf numFmtId="165" fontId="0" fillId="6" borderId="1" pivotButton="0" quotePrefix="0" xfId="0"/>
    <xf numFmtId="0" fontId="0" fillId="6" borderId="1" pivotButton="0" quotePrefix="0" xfId="0"/>
    <xf numFmtId="166" fontId="0" fillId="6" borderId="1" pivotButton="0" quotePrefix="0" xfId="0"/>
    <xf numFmtId="0" fontId="3" fillId="6" borderId="1" pivotButton="0" quotePrefix="0" xfId="0"/>
    <xf numFmtId="166" fontId="4" fillId="6" borderId="1" pivotButton="0" quotePrefix="0" xfId="0"/>
    <xf numFmtId="166" fontId="3" fillId="6" borderId="1" pivotButton="0" quotePrefix="0" xfId="0"/>
    <xf numFmtId="165" fontId="0" fillId="7" borderId="1" pivotButton="0" quotePrefix="0" xfId="0"/>
    <xf numFmtId="0" fontId="0" fillId="7" borderId="1" pivotButton="0" quotePrefix="0" xfId="0"/>
    <xf numFmtId="166" fontId="0" fillId="7" borderId="1" pivotButton="0" quotePrefix="0" xfId="0"/>
    <xf numFmtId="0" fontId="3" fillId="7" borderId="1" pivotButton="0" quotePrefix="0" xfId="0"/>
    <xf numFmtId="166" fontId="4" fillId="7" borderId="1" pivotButton="0" quotePrefix="0" xfId="0"/>
    <xf numFmtId="166" fontId="3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cols>
    <col width="18" customWidth="1" min="1" max="1"/>
    <col width="21.85" customWidth="1" min="2" max="2"/>
    <col width="18" customWidth="1" min="3" max="3"/>
    <col width="19" customWidth="1" min="4" max="4"/>
    <col width="30.4" customWidth="1" min="5" max="5"/>
    <col width="19.95" customWidth="1" min="6" max="6"/>
    <col width="27.55" customWidth="1" min="7" max="7"/>
    <col width="21.85" customWidth="1" min="8" max="8"/>
    <col width="25.65" customWidth="1" min="9" max="9"/>
    <col width="19" customWidth="1" min="10" max="10"/>
    <col width="18" customWidth="1" min="11" max="11"/>
    <col width="21.85" customWidth="1" min="12" max="12"/>
    <col width="18" customWidth="1" min="13" max="13"/>
    <col width="29.45" customWidth="1" min="14" max="14"/>
    <col width="19" customWidth="1" min="15" max="15"/>
    <col width="18" customWidth="1" min="16" max="16"/>
    <col width="26.6" customWidth="1" min="17" max="17"/>
    <col width="28.5" customWidth="1" min="18" max="18"/>
    <col width="25.65" customWidth="1" min="19" max="19"/>
    <col width="29.45" customWidth="1" min="20" max="20"/>
    <col width="20.9" customWidth="1" min="21" max="21"/>
    <col width="18" customWidth="1" min="22" max="22"/>
    <col width="18" customWidth="1" min="23" max="23"/>
    <col width="18" customWidth="1" min="24" max="24"/>
  </cols>
  <sheetData>
    <row r="1" ht="28" customHeight="1">
      <c r="A1" s="1" t="inlineStr">
        <is>
          <t>CUADRO DE COMPRAS NACIONALES FLY LOGISTIC 2026</t>
        </is>
      </c>
    </row>
    <row r="2" ht="30" customHeight="1">
      <c r="A2" s="2" t="inlineStr">
        <is>
          <t>1. Fecha inicial</t>
        </is>
      </c>
      <c r="B2" s="2" t="inlineStr">
        <is>
          <t>2. PO (Orden de compra)</t>
        </is>
      </c>
      <c r="C2" s="2" t="inlineStr">
        <is>
          <t>3. Cliente</t>
        </is>
      </c>
      <c r="D2" s="2" t="inlineStr">
        <is>
          <t>4. Nombre del asesor</t>
        </is>
      </c>
      <c r="E2" s="2" t="inlineStr">
        <is>
          <t>5. Fecha de compra a proveedores</t>
        </is>
      </c>
      <c r="F2" s="2" t="inlineStr">
        <is>
          <t>6. Proveedor (Origen)</t>
        </is>
      </c>
      <c r="G2" s="2" t="inlineStr">
        <is>
          <t>7. Parte número / Part Number</t>
        </is>
      </c>
      <c r="H2" s="2" t="inlineStr">
        <is>
          <t>8. Parte número alterno</t>
        </is>
      </c>
      <c r="I2" s="2" t="inlineStr">
        <is>
          <t>9. Descripción del producto</t>
        </is>
      </c>
      <c r="J2" s="2" t="inlineStr">
        <is>
          <t>10. Unidad de medida</t>
        </is>
      </c>
      <c r="K2" s="2" t="inlineStr">
        <is>
          <t>11. Cantidad</t>
        </is>
      </c>
      <c r="L2" s="2" t="inlineStr">
        <is>
          <t>12. Estado del Producto</t>
        </is>
      </c>
      <c r="M2" s="2" t="inlineStr">
        <is>
          <t>13. Método de pago</t>
        </is>
      </c>
      <c r="N2" s="2" t="inlineStr">
        <is>
          <t>14. Precio unitario inicial ($)</t>
        </is>
      </c>
      <c r="O2" s="2" t="inlineStr">
        <is>
          <t>15. Precio total ($)</t>
        </is>
      </c>
      <c r="P2" s="2" t="inlineStr">
        <is>
          <t>16. IVA (19%) (%)</t>
        </is>
      </c>
      <c r="Q2" s="2" t="inlineStr">
        <is>
          <t>17. Valor después de IVA ($)</t>
        </is>
      </c>
      <c r="R2" s="2" t="inlineStr">
        <is>
          <t>18. Plazo de entrega prometido</t>
        </is>
      </c>
      <c r="S2" s="2" t="inlineStr">
        <is>
          <t>19. Días Hábiles (Semáforo)</t>
        </is>
      </c>
      <c r="T2" s="2" t="inlineStr">
        <is>
          <t>20. Fecha de entrega al cliente</t>
        </is>
      </c>
      <c r="U2" s="2" t="inlineStr">
        <is>
          <t>21. Número de remisión</t>
        </is>
      </c>
      <c r="V2" s="2" t="inlineStr">
        <is>
          <t>22. Documentación</t>
        </is>
      </c>
      <c r="W2" s="2" t="inlineStr">
        <is>
          <t>23. Estado PO</t>
        </is>
      </c>
      <c r="X2" s="2" t="inlineStr">
        <is>
          <t>24. Observaciones</t>
        </is>
      </c>
    </row>
    <row r="3">
      <c r="A3" s="3" t="n">
        <v>46323</v>
      </c>
      <c r="B3" s="4" t="inlineStr">
        <is>
          <t>PO-QA-9001</t>
        </is>
      </c>
      <c r="C3" s="4" t="inlineStr">
        <is>
          <t>Aerolíneas de Prueba S.A.</t>
        </is>
      </c>
      <c r="D3" s="4" t="inlineStr">
        <is>
          <t>Tester QA Automático</t>
        </is>
      </c>
      <c r="E3" s="3" t="n">
        <v>46323</v>
      </c>
      <c r="F3" s="4" t="inlineStr">
        <is>
          <t>Boeing Parts Corp</t>
        </is>
      </c>
      <c r="G3" s="4" t="inlineStr">
        <is>
          <t>SKU-B737-11</t>
        </is>
      </c>
      <c r="H3" s="4" t="inlineStr">
        <is>
          <t>ALT-001</t>
        </is>
      </c>
      <c r="I3" s="4" t="inlineStr">
        <is>
          <t>Filtro hidráulico principal</t>
        </is>
      </c>
      <c r="J3" s="4" t="inlineStr">
        <is>
          <t>UND</t>
        </is>
      </c>
      <c r="K3" s="4" t="n">
        <v>2</v>
      </c>
      <c r="L3" s="4" t="inlineStr">
        <is>
          <t>DESPACHADO</t>
        </is>
      </c>
      <c r="M3" s="4" t="inlineStr">
        <is>
          <t>Visa, Transferencia</t>
        </is>
      </c>
      <c r="N3" s="5" t="n">
        <v>1500.5</v>
      </c>
      <c r="O3" s="5">
        <f>K3*N3</f>
        <v/>
      </c>
      <c r="P3" s="4" t="n">
        <v>19</v>
      </c>
      <c r="Q3" s="5">
        <f>O3*(1+P3/100)</f>
        <v/>
      </c>
      <c r="R3" s="3" t="n">
        <v>46333</v>
      </c>
      <c r="S3" s="4" t="inlineStr">
        <is>
          <t>7 días hábiles a favor</t>
        </is>
      </c>
      <c r="T3" s="4" t="n"/>
      <c r="U3" s="4" t="inlineStr"/>
      <c r="V3" s="4" t="inlineStr"/>
      <c r="W3" s="4" t="inlineStr">
        <is>
          <t>En proceso</t>
        </is>
      </c>
      <c r="X3" s="4" t="inlineStr">
        <is>
          <t>Prueba automatizada QA para orden nacional.</t>
        </is>
      </c>
    </row>
    <row r="4">
      <c r="A4" s="3" t="n">
        <v>46323</v>
      </c>
      <c r="B4" s="4" t="inlineStr">
        <is>
          <t>PO-QA-9001</t>
        </is>
      </c>
      <c r="C4" s="4" t="inlineStr">
        <is>
          <t>Aerolíneas de Prueba S.A.</t>
        </is>
      </c>
      <c r="D4" s="4" t="inlineStr">
        <is>
          <t>Tester QA Automático</t>
        </is>
      </c>
      <c r="E4" s="4" t="n"/>
      <c r="F4" s="4" t="inlineStr">
        <is>
          <t>Airbus Global</t>
        </is>
      </c>
      <c r="G4" s="4" t="inlineStr">
        <is>
          <t>SKU-A320-22</t>
        </is>
      </c>
      <c r="H4" s="4" t="inlineStr"/>
      <c r="I4" s="4" t="inlineStr">
        <is>
          <t>Sensor de proximidad ala</t>
        </is>
      </c>
      <c r="J4" s="4" t="inlineStr">
        <is>
          <t>EA</t>
        </is>
      </c>
      <c r="K4" s="4" t="n">
        <v>1</v>
      </c>
      <c r="L4" s="4" t="inlineStr">
        <is>
          <t>PENDIENTE</t>
        </is>
      </c>
      <c r="M4" s="4" t="inlineStr">
        <is>
          <t>Visa, Transferencia</t>
        </is>
      </c>
      <c r="N4" s="5" t="n">
        <v>3200</v>
      </c>
      <c r="O4" s="5">
        <f>K4*N4</f>
        <v/>
      </c>
      <c r="P4" s="4" t="n">
        <v>19</v>
      </c>
      <c r="Q4" s="5">
        <f>O4*(1+P4/100)</f>
        <v/>
      </c>
      <c r="R4" s="3" t="n">
        <v>46333</v>
      </c>
      <c r="S4" s="4" t="inlineStr">
        <is>
          <t>7 días hábiles a favor</t>
        </is>
      </c>
      <c r="T4" s="4" t="n"/>
      <c r="U4" s="4" t="inlineStr"/>
      <c r="V4" s="4" t="inlineStr"/>
      <c r="W4" s="4" t="inlineStr">
        <is>
          <t>En proceso</t>
        </is>
      </c>
      <c r="X4" s="4" t="inlineStr">
        <is>
          <t>Prueba automatizada QA para orden nacional.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6" t="inlineStr">
        <is>
          <t>TOTALES PO PO-QA-9001:</t>
        </is>
      </c>
      <c r="N5" s="4" t="n"/>
      <c r="O5" s="7">
        <f>SUM(O3:O4)</f>
        <v/>
      </c>
      <c r="P5" s="4" t="n"/>
      <c r="Q5" s="8">
        <f>SUM(Q3:Q4)</f>
        <v/>
      </c>
      <c r="R5" s="4" t="n"/>
      <c r="S5" s="4" t="n"/>
      <c r="T5" s="4" t="n"/>
      <c r="U5" s="4" t="n"/>
      <c r="V5" s="4" t="n"/>
      <c r="W5" s="4" t="n"/>
      <c r="X5" s="4" t="n"/>
    </row>
    <row r="6">
      <c r="A6" s="9" t="n">
        <v>46323</v>
      </c>
      <c r="B6" s="10" t="inlineStr">
        <is>
          <t>PO-QA-ESCALA-10P</t>
        </is>
      </c>
      <c r="C6" s="10" t="inlineStr">
        <is>
          <t>Aerolíneas Escaladas S.A. (10 Ítems)</t>
        </is>
      </c>
      <c r="D6" s="10" t="inlineStr">
        <is>
          <t>Tester QA Automático</t>
        </is>
      </c>
      <c r="E6" s="10" t="n"/>
      <c r="F6" s="10" t="inlineStr">
        <is>
          <t>Proveedor Global Corp 1</t>
        </is>
      </c>
      <c r="G6" s="10" t="inlineStr">
        <is>
          <t>PN-PART-001</t>
        </is>
      </c>
      <c r="H6" s="10" t="inlineStr"/>
      <c r="I6" s="10" t="inlineStr">
        <is>
          <t>Componente aeronáutico de prueba número 1 para validación de escala</t>
        </is>
      </c>
      <c r="J6" s="10" t="inlineStr">
        <is>
          <t>EA</t>
        </is>
      </c>
      <c r="K6" s="10" t="n">
        <v>1</v>
      </c>
      <c r="L6" s="10" t="inlineStr">
        <is>
          <t>PENDIENTE</t>
        </is>
      </c>
      <c r="M6" s="10" t="inlineStr">
        <is>
          <t>Visa: $5,000.00, Transferencia: $10,000.00</t>
        </is>
      </c>
      <c r="N6" s="11" t="n">
        <v>100</v>
      </c>
      <c r="O6" s="11">
        <f>K6*N6</f>
        <v/>
      </c>
      <c r="P6" s="10" t="n">
        <v>7</v>
      </c>
      <c r="Q6" s="11">
        <f>O6*(1+P6/100)</f>
        <v/>
      </c>
      <c r="R6" s="9" t="n">
        <v>46343</v>
      </c>
      <c r="S6" s="10" t="inlineStr">
        <is>
          <t>14 días hábiles a favor</t>
        </is>
      </c>
      <c r="T6" s="10" t="n"/>
      <c r="U6" s="10" t="inlineStr"/>
      <c r="V6" s="10" t="inlineStr"/>
      <c r="W6" s="10" t="inlineStr">
        <is>
          <t>En proceso</t>
        </is>
      </c>
      <c r="X6" s="10" t="inlineStr">
        <is>
          <t>Prueba QA exhaustiva con 10 productos integrados en simultáneo.</t>
        </is>
      </c>
    </row>
    <row r="7">
      <c r="A7" s="9" t="n">
        <v>46323</v>
      </c>
      <c r="B7" s="10" t="inlineStr">
        <is>
          <t>PO-QA-ESCALA-10P</t>
        </is>
      </c>
      <c r="C7" s="10" t="inlineStr">
        <is>
          <t>Aerolíneas Escaladas S.A. (10 Ítems)</t>
        </is>
      </c>
      <c r="D7" s="10" t="inlineStr">
        <is>
          <t>Tester QA Automático</t>
        </is>
      </c>
      <c r="E7" s="9" t="n">
        <v>46323</v>
      </c>
      <c r="F7" s="10" t="inlineStr">
        <is>
          <t>Proveedor Global Corp 2</t>
        </is>
      </c>
      <c r="G7" s="10" t="inlineStr">
        <is>
          <t>PN-PART-002</t>
        </is>
      </c>
      <c r="H7" s="10" t="inlineStr"/>
      <c r="I7" s="10" t="inlineStr">
        <is>
          <t>Componente aeronáutico de prueba número 2 para validación de escala</t>
        </is>
      </c>
      <c r="J7" s="10" t="inlineStr">
        <is>
          <t>UND</t>
        </is>
      </c>
      <c r="K7" s="10" t="n">
        <v>2</v>
      </c>
      <c r="L7" s="10" t="inlineStr">
        <is>
          <t>DESPACHADO</t>
        </is>
      </c>
      <c r="M7" s="10" t="inlineStr">
        <is>
          <t>Visa: $5,000.00, Transferencia: $10,000.00</t>
        </is>
      </c>
      <c r="N7" s="11" t="n">
        <v>200</v>
      </c>
      <c r="O7" s="11">
        <f>K7*N7</f>
        <v/>
      </c>
      <c r="P7" s="10" t="n">
        <v>19</v>
      </c>
      <c r="Q7" s="11">
        <f>O7*(1+P7/100)</f>
        <v/>
      </c>
      <c r="R7" s="9" t="n">
        <v>46343</v>
      </c>
      <c r="S7" s="10" t="inlineStr">
        <is>
          <t>14 días hábiles a favor</t>
        </is>
      </c>
      <c r="T7" s="10" t="n"/>
      <c r="U7" s="10" t="inlineStr"/>
      <c r="V7" s="10" t="inlineStr"/>
      <c r="W7" s="10" t="inlineStr">
        <is>
          <t>En proceso</t>
        </is>
      </c>
      <c r="X7" s="10" t="inlineStr">
        <is>
          <t>Prueba QA exhaustiva con 10 productos integrados en simultáneo.</t>
        </is>
      </c>
    </row>
    <row r="8">
      <c r="A8" s="9" t="n">
        <v>46323</v>
      </c>
      <c r="B8" s="10" t="inlineStr">
        <is>
          <t>PO-QA-ESCALA-10P</t>
        </is>
      </c>
      <c r="C8" s="10" t="inlineStr">
        <is>
          <t>Aerolíneas Escaladas S.A. (10 Ítems)</t>
        </is>
      </c>
      <c r="D8" s="10" t="inlineStr">
        <is>
          <t>Tester QA Automático</t>
        </is>
      </c>
      <c r="E8" s="10" t="n"/>
      <c r="F8" s="10" t="inlineStr">
        <is>
          <t>Proveedor Global Corp 3</t>
        </is>
      </c>
      <c r="G8" s="10" t="inlineStr">
        <is>
          <t>PN-PART-003</t>
        </is>
      </c>
      <c r="H8" s="10" t="inlineStr">
        <is>
          <t>ALT-003</t>
        </is>
      </c>
      <c r="I8" s="10" t="inlineStr">
        <is>
          <t>Componente aeronáutico de prueba número 3 para validación de escala</t>
        </is>
      </c>
      <c r="J8" s="10" t="inlineStr">
        <is>
          <t>EA</t>
        </is>
      </c>
      <c r="K8" s="10" t="n">
        <v>3</v>
      </c>
      <c r="L8" s="10" t="inlineStr">
        <is>
          <t>EN FLY</t>
        </is>
      </c>
      <c r="M8" s="10" t="inlineStr">
        <is>
          <t>Visa: $5,000.00, Transferencia: $10,000.00</t>
        </is>
      </c>
      <c r="N8" s="11" t="n">
        <v>300</v>
      </c>
      <c r="O8" s="11">
        <f>K8*N8</f>
        <v/>
      </c>
      <c r="P8" s="10" t="n">
        <v>7</v>
      </c>
      <c r="Q8" s="11">
        <f>O8*(1+P8/100)</f>
        <v/>
      </c>
      <c r="R8" s="9" t="n">
        <v>46343</v>
      </c>
      <c r="S8" s="10" t="inlineStr">
        <is>
          <t>14 días hábiles a favor</t>
        </is>
      </c>
      <c r="T8" s="10" t="n"/>
      <c r="U8" s="10" t="inlineStr"/>
      <c r="V8" s="10" t="inlineStr"/>
      <c r="W8" s="10" t="inlineStr">
        <is>
          <t>En proceso</t>
        </is>
      </c>
      <c r="X8" s="10" t="inlineStr">
        <is>
          <t>Prueba QA exhaustiva con 10 productos integrados en simultáneo.</t>
        </is>
      </c>
    </row>
    <row r="9">
      <c r="A9" s="9" t="n">
        <v>46323</v>
      </c>
      <c r="B9" s="10" t="inlineStr">
        <is>
          <t>PO-QA-ESCALA-10P</t>
        </is>
      </c>
      <c r="C9" s="10" t="inlineStr">
        <is>
          <t>Aerolíneas Escaladas S.A. (10 Ítems)</t>
        </is>
      </c>
      <c r="D9" s="10" t="inlineStr">
        <is>
          <t>Tester QA Automático</t>
        </is>
      </c>
      <c r="E9" s="9" t="n">
        <v>46323</v>
      </c>
      <c r="F9" s="10" t="inlineStr">
        <is>
          <t>Proveedor Global Corp 4</t>
        </is>
      </c>
      <c r="G9" s="10" t="inlineStr">
        <is>
          <t>PN-PART-004</t>
        </is>
      </c>
      <c r="H9" s="10" t="inlineStr"/>
      <c r="I9" s="10" t="inlineStr">
        <is>
          <t>Componente aeronáutico de prueba número 4 para validación de escala</t>
        </is>
      </c>
      <c r="J9" s="10" t="inlineStr">
        <is>
          <t>UND</t>
        </is>
      </c>
      <c r="K9" s="10" t="n">
        <v>4</v>
      </c>
      <c r="L9" s="10" t="inlineStr">
        <is>
          <t>LLEGADO FLY</t>
        </is>
      </c>
      <c r="M9" s="10" t="inlineStr">
        <is>
          <t>Visa: $5,000.00, Transferencia: $10,000.00</t>
        </is>
      </c>
      <c r="N9" s="11" t="n">
        <v>400</v>
      </c>
      <c r="O9" s="11">
        <f>K9*N9</f>
        <v/>
      </c>
      <c r="P9" s="10" t="n">
        <v>19</v>
      </c>
      <c r="Q9" s="11">
        <f>O9*(1+P9/100)</f>
        <v/>
      </c>
      <c r="R9" s="9" t="n">
        <v>46343</v>
      </c>
      <c r="S9" s="10" t="inlineStr">
        <is>
          <t>14 días hábiles a favor</t>
        </is>
      </c>
      <c r="T9" s="10" t="n"/>
      <c r="U9" s="10" t="inlineStr"/>
      <c r="V9" s="10" t="inlineStr"/>
      <c r="W9" s="10" t="inlineStr">
        <is>
          <t>En proceso</t>
        </is>
      </c>
      <c r="X9" s="10" t="inlineStr">
        <is>
          <t>Prueba QA exhaustiva con 10 productos integrados en simultáneo.</t>
        </is>
      </c>
    </row>
    <row r="10">
      <c r="A10" s="9" t="n">
        <v>46323</v>
      </c>
      <c r="B10" s="10" t="inlineStr">
        <is>
          <t>PO-QA-ESCALA-10P</t>
        </is>
      </c>
      <c r="C10" s="10" t="inlineStr">
        <is>
          <t>Aerolíneas Escaladas S.A. (10 Ítems)</t>
        </is>
      </c>
      <c r="D10" s="10" t="inlineStr">
        <is>
          <t>Tester QA Automático</t>
        </is>
      </c>
      <c r="E10" s="10" t="n"/>
      <c r="F10" s="10" t="inlineStr">
        <is>
          <t>Proveedor Global Corp 5</t>
        </is>
      </c>
      <c r="G10" s="10" t="inlineStr">
        <is>
          <t>PN-PART-005</t>
        </is>
      </c>
      <c r="H10" s="10" t="inlineStr"/>
      <c r="I10" s="10" t="inlineStr">
        <is>
          <t>Componente aeronáutico de prueba número 5 para validación de escala</t>
        </is>
      </c>
      <c r="J10" s="10" t="inlineStr">
        <is>
          <t>EA</t>
        </is>
      </c>
      <c r="K10" s="10" t="n">
        <v>5</v>
      </c>
      <c r="L10" s="10" t="inlineStr">
        <is>
          <t>ENTREGADO</t>
        </is>
      </c>
      <c r="M10" s="10" t="inlineStr">
        <is>
          <t>Visa: $5,000.00, Transferencia: $10,000.00</t>
        </is>
      </c>
      <c r="N10" s="11" t="n">
        <v>500</v>
      </c>
      <c r="O10" s="11">
        <f>K10*N10</f>
        <v/>
      </c>
      <c r="P10" s="10" t="n">
        <v>7</v>
      </c>
      <c r="Q10" s="11">
        <f>O10*(1+P10/100)</f>
        <v/>
      </c>
      <c r="R10" s="9" t="n">
        <v>46343</v>
      </c>
      <c r="S10" s="10" t="inlineStr">
        <is>
          <t>14 días hábiles a favor</t>
        </is>
      </c>
      <c r="T10" s="10" t="n"/>
      <c r="U10" s="10" t="inlineStr"/>
      <c r="V10" s="10" t="inlineStr"/>
      <c r="W10" s="10" t="inlineStr">
        <is>
          <t>En proceso</t>
        </is>
      </c>
      <c r="X10" s="10" t="inlineStr">
        <is>
          <t>Prueba QA exhaustiva con 10 productos integrados en simultáneo.</t>
        </is>
      </c>
    </row>
    <row r="11">
      <c r="A11" s="9" t="n">
        <v>46323</v>
      </c>
      <c r="B11" s="10" t="inlineStr">
        <is>
          <t>PO-QA-ESCALA-10P</t>
        </is>
      </c>
      <c r="C11" s="10" t="inlineStr">
        <is>
          <t>Aerolíneas Escaladas S.A. (10 Ítems)</t>
        </is>
      </c>
      <c r="D11" s="10" t="inlineStr">
        <is>
          <t>Tester QA Automático</t>
        </is>
      </c>
      <c r="E11" s="9" t="n">
        <v>46323</v>
      </c>
      <c r="F11" s="10" t="inlineStr">
        <is>
          <t>Proveedor Global Corp 6</t>
        </is>
      </c>
      <c r="G11" s="10" t="inlineStr">
        <is>
          <t>PN-PART-006</t>
        </is>
      </c>
      <c r="H11" s="10" t="inlineStr">
        <is>
          <t>ALT-006</t>
        </is>
      </c>
      <c r="I11" s="10" t="inlineStr">
        <is>
          <t>Componente aeronáutico de prueba número 6 para validación de escala</t>
        </is>
      </c>
      <c r="J11" s="10" t="inlineStr">
        <is>
          <t>UND</t>
        </is>
      </c>
      <c r="K11" s="10" t="n">
        <v>6</v>
      </c>
      <c r="L11" s="10" t="inlineStr">
        <is>
          <t>PENDIENTE</t>
        </is>
      </c>
      <c r="M11" s="10" t="inlineStr">
        <is>
          <t>Visa: $5,000.00, Transferencia: $10,000.00</t>
        </is>
      </c>
      <c r="N11" s="11" t="n">
        <v>600</v>
      </c>
      <c r="O11" s="11">
        <f>K11*N11</f>
        <v/>
      </c>
      <c r="P11" s="10" t="n">
        <v>19</v>
      </c>
      <c r="Q11" s="11">
        <f>O11*(1+P11/100)</f>
        <v/>
      </c>
      <c r="R11" s="9" t="n">
        <v>46343</v>
      </c>
      <c r="S11" s="10" t="inlineStr">
        <is>
          <t>14 días hábiles a favor</t>
        </is>
      </c>
      <c r="T11" s="10" t="n"/>
      <c r="U11" s="10" t="inlineStr"/>
      <c r="V11" s="10" t="inlineStr"/>
      <c r="W11" s="10" t="inlineStr">
        <is>
          <t>En proceso</t>
        </is>
      </c>
      <c r="X11" s="10" t="inlineStr">
        <is>
          <t>Prueba QA exhaustiva con 10 productos integrados en simultáneo.</t>
        </is>
      </c>
    </row>
    <row r="12">
      <c r="A12" s="9" t="n">
        <v>46323</v>
      </c>
      <c r="B12" s="10" t="inlineStr">
        <is>
          <t>PO-QA-ESCALA-10P</t>
        </is>
      </c>
      <c r="C12" s="10" t="inlineStr">
        <is>
          <t>Aerolíneas Escaladas S.A. (10 Ítems)</t>
        </is>
      </c>
      <c r="D12" s="10" t="inlineStr">
        <is>
          <t>Tester QA Automático</t>
        </is>
      </c>
      <c r="E12" s="10" t="n"/>
      <c r="F12" s="10" t="inlineStr">
        <is>
          <t>Proveedor Global Corp 7</t>
        </is>
      </c>
      <c r="G12" s="10" t="inlineStr">
        <is>
          <t>PN-PART-007</t>
        </is>
      </c>
      <c r="H12" s="10" t="inlineStr"/>
      <c r="I12" s="10" t="inlineStr">
        <is>
          <t>Componente aeronáutico de prueba número 7 para validación de escala</t>
        </is>
      </c>
      <c r="J12" s="10" t="inlineStr">
        <is>
          <t>EA</t>
        </is>
      </c>
      <c r="K12" s="10" t="n">
        <v>7</v>
      </c>
      <c r="L12" s="10" t="inlineStr">
        <is>
          <t>DESPACHADO</t>
        </is>
      </c>
      <c r="M12" s="10" t="inlineStr">
        <is>
          <t>Visa: $5,000.00, Transferencia: $10,000.00</t>
        </is>
      </c>
      <c r="N12" s="11" t="n">
        <v>700</v>
      </c>
      <c r="O12" s="11">
        <f>K12*N12</f>
        <v/>
      </c>
      <c r="P12" s="10" t="n">
        <v>7</v>
      </c>
      <c r="Q12" s="11">
        <f>O12*(1+P12/100)</f>
        <v/>
      </c>
      <c r="R12" s="9" t="n">
        <v>46343</v>
      </c>
      <c r="S12" s="10" t="inlineStr">
        <is>
          <t>14 días hábiles a favor</t>
        </is>
      </c>
      <c r="T12" s="10" t="n"/>
      <c r="U12" s="10" t="inlineStr"/>
      <c r="V12" s="10" t="inlineStr"/>
      <c r="W12" s="10" t="inlineStr">
        <is>
          <t>En proceso</t>
        </is>
      </c>
      <c r="X12" s="10" t="inlineStr">
        <is>
          <t>Prueba QA exhaustiva con 10 productos integrados en simultáneo.</t>
        </is>
      </c>
    </row>
    <row r="13">
      <c r="A13" s="9" t="n">
        <v>46323</v>
      </c>
      <c r="B13" s="10" t="inlineStr">
        <is>
          <t>PO-QA-ESCALA-10P</t>
        </is>
      </c>
      <c r="C13" s="10" t="inlineStr">
        <is>
          <t>Aerolíneas Escaladas S.A. (10 Ítems)</t>
        </is>
      </c>
      <c r="D13" s="10" t="inlineStr">
        <is>
          <t>Tester QA Automático</t>
        </is>
      </c>
      <c r="E13" s="9" t="n">
        <v>46323</v>
      </c>
      <c r="F13" s="10" t="inlineStr">
        <is>
          <t>Proveedor Global Corp 8</t>
        </is>
      </c>
      <c r="G13" s="10" t="inlineStr">
        <is>
          <t>PN-PART-008</t>
        </is>
      </c>
      <c r="H13" s="10" t="inlineStr"/>
      <c r="I13" s="10" t="inlineStr">
        <is>
          <t>Componente aeronáutico de prueba número 8 para validación de escala</t>
        </is>
      </c>
      <c r="J13" s="10" t="inlineStr">
        <is>
          <t>UND</t>
        </is>
      </c>
      <c r="K13" s="10" t="n">
        <v>8</v>
      </c>
      <c r="L13" s="10" t="inlineStr">
        <is>
          <t>EN FLY</t>
        </is>
      </c>
      <c r="M13" s="10" t="inlineStr">
        <is>
          <t>Visa: $5,000.00, Transferencia: $10,000.00</t>
        </is>
      </c>
      <c r="N13" s="11" t="n">
        <v>800</v>
      </c>
      <c r="O13" s="11">
        <f>K13*N13</f>
        <v/>
      </c>
      <c r="P13" s="10" t="n">
        <v>19</v>
      </c>
      <c r="Q13" s="11">
        <f>O13*(1+P13/100)</f>
        <v/>
      </c>
      <c r="R13" s="9" t="n">
        <v>46343</v>
      </c>
      <c r="S13" s="10" t="inlineStr">
        <is>
          <t>14 días hábiles a favor</t>
        </is>
      </c>
      <c r="T13" s="10" t="n"/>
      <c r="U13" s="10" t="inlineStr"/>
      <c r="V13" s="10" t="inlineStr"/>
      <c r="W13" s="10" t="inlineStr">
        <is>
          <t>En proceso</t>
        </is>
      </c>
      <c r="X13" s="10" t="inlineStr">
        <is>
          <t>Prueba QA exhaustiva con 10 productos integrados en simultáneo.</t>
        </is>
      </c>
    </row>
    <row r="14">
      <c r="A14" s="9" t="n">
        <v>46323</v>
      </c>
      <c r="B14" s="10" t="inlineStr">
        <is>
          <t>PO-QA-ESCALA-10P</t>
        </is>
      </c>
      <c r="C14" s="10" t="inlineStr">
        <is>
          <t>Aerolíneas Escaladas S.A. (10 Ítems)</t>
        </is>
      </c>
      <c r="D14" s="10" t="inlineStr">
        <is>
          <t>Tester QA Automático</t>
        </is>
      </c>
      <c r="E14" s="10" t="n"/>
      <c r="F14" s="10" t="inlineStr">
        <is>
          <t>Proveedor Global Corp 9</t>
        </is>
      </c>
      <c r="G14" s="10" t="inlineStr">
        <is>
          <t>PN-PART-009</t>
        </is>
      </c>
      <c r="H14" s="10" t="inlineStr">
        <is>
          <t>ALT-009</t>
        </is>
      </c>
      <c r="I14" s="10" t="inlineStr">
        <is>
          <t>Componente aeronáutico de prueba número 9 para validación de escala</t>
        </is>
      </c>
      <c r="J14" s="10" t="inlineStr">
        <is>
          <t>EA</t>
        </is>
      </c>
      <c r="K14" s="10" t="n">
        <v>9</v>
      </c>
      <c r="L14" s="10" t="inlineStr">
        <is>
          <t>LLEGADO FLY</t>
        </is>
      </c>
      <c r="M14" s="10" t="inlineStr">
        <is>
          <t>Visa: $5,000.00, Transferencia: $10,000.00</t>
        </is>
      </c>
      <c r="N14" s="11" t="n">
        <v>900</v>
      </c>
      <c r="O14" s="11">
        <f>K14*N14</f>
        <v/>
      </c>
      <c r="P14" s="10" t="n">
        <v>7</v>
      </c>
      <c r="Q14" s="11">
        <f>O14*(1+P14/100)</f>
        <v/>
      </c>
      <c r="R14" s="9" t="n">
        <v>46343</v>
      </c>
      <c r="S14" s="10" t="inlineStr">
        <is>
          <t>14 días hábiles a favor</t>
        </is>
      </c>
      <c r="T14" s="10" t="n"/>
      <c r="U14" s="10" t="inlineStr"/>
      <c r="V14" s="10" t="inlineStr"/>
      <c r="W14" s="10" t="inlineStr">
        <is>
          <t>En proceso</t>
        </is>
      </c>
      <c r="X14" s="10" t="inlineStr">
        <is>
          <t>Prueba QA exhaustiva con 10 productos integrados en simultáneo.</t>
        </is>
      </c>
    </row>
    <row r="15">
      <c r="A15" s="9" t="n">
        <v>46323</v>
      </c>
      <c r="B15" s="10" t="inlineStr">
        <is>
          <t>PO-QA-ESCALA-10P</t>
        </is>
      </c>
      <c r="C15" s="10" t="inlineStr">
        <is>
          <t>Aerolíneas Escaladas S.A. (10 Ítems)</t>
        </is>
      </c>
      <c r="D15" s="10" t="inlineStr">
        <is>
          <t>Tester QA Automático</t>
        </is>
      </c>
      <c r="E15" s="9" t="n">
        <v>46323</v>
      </c>
      <c r="F15" s="10" t="inlineStr">
        <is>
          <t>Proveedor Global Corp 10</t>
        </is>
      </c>
      <c r="G15" s="10" t="inlineStr">
        <is>
          <t>PN-PART-010</t>
        </is>
      </c>
      <c r="H15" s="10" t="inlineStr"/>
      <c r="I15" s="10" t="inlineStr">
        <is>
          <t>Componente aeronáutico de prueba número 10 para validación de escala</t>
        </is>
      </c>
      <c r="J15" s="10" t="inlineStr">
        <is>
          <t>UND</t>
        </is>
      </c>
      <c r="K15" s="10" t="n">
        <v>10</v>
      </c>
      <c r="L15" s="10" t="inlineStr">
        <is>
          <t>ENTREGADO</t>
        </is>
      </c>
      <c r="M15" s="10" t="inlineStr">
        <is>
          <t>Visa: $5,000.00, Transferencia: $10,000.00</t>
        </is>
      </c>
      <c r="N15" s="11" t="n">
        <v>1000</v>
      </c>
      <c r="O15" s="11">
        <f>K15*N15</f>
        <v/>
      </c>
      <c r="P15" s="10" t="n">
        <v>19</v>
      </c>
      <c r="Q15" s="11">
        <f>O15*(1+P15/100)</f>
        <v/>
      </c>
      <c r="R15" s="9" t="n">
        <v>46343</v>
      </c>
      <c r="S15" s="10" t="inlineStr">
        <is>
          <t>14 días hábiles a favor</t>
        </is>
      </c>
      <c r="T15" s="10" t="n"/>
      <c r="U15" s="10" t="inlineStr"/>
      <c r="V15" s="10" t="inlineStr"/>
      <c r="W15" s="10" t="inlineStr">
        <is>
          <t>En proceso</t>
        </is>
      </c>
      <c r="X15" s="10" t="inlineStr">
        <is>
          <t>Prueba QA exhaustiva con 10 productos integrados en simultáneo.</t>
        </is>
      </c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2" t="inlineStr">
        <is>
          <t>TOTALES PO PO-QA-ESCALA-10P:</t>
        </is>
      </c>
      <c r="N16" s="10" t="n"/>
      <c r="O16" s="13">
        <f>SUM(O6:O15)</f>
        <v/>
      </c>
      <c r="P16" s="10" t="n"/>
      <c r="Q16" s="14">
        <f>SUM(Q6:Q15)</f>
        <v/>
      </c>
      <c r="R16" s="10" t="n"/>
      <c r="S16" s="10" t="n"/>
      <c r="T16" s="10" t="n"/>
      <c r="U16" s="10" t="n"/>
      <c r="V16" s="10" t="n"/>
      <c r="W16" s="10" t="n"/>
      <c r="X16" s="10" t="n"/>
    </row>
    <row r="17">
      <c r="A17" s="15" t="n">
        <v>46323</v>
      </c>
      <c r="B17" s="16" t="inlineStr">
        <is>
          <t>PO-QA-ESCALA-1P</t>
        </is>
      </c>
      <c r="C17" s="16" t="inlineStr">
        <is>
          <t>Aerolíneas Escaladas S.A. (1 Ítems)</t>
        </is>
      </c>
      <c r="D17" s="16" t="inlineStr">
        <is>
          <t>Tester QA Automático</t>
        </is>
      </c>
      <c r="E17" s="16" t="n"/>
      <c r="F17" s="16" t="inlineStr">
        <is>
          <t>Proveedor Global Corp 1</t>
        </is>
      </c>
      <c r="G17" s="16" t="inlineStr">
        <is>
          <t>PN-PART-001</t>
        </is>
      </c>
      <c r="H17" s="16" t="inlineStr"/>
      <c r="I17" s="16" t="inlineStr">
        <is>
          <t>Componente aeronáutico de prueba número 1 para validación de escala</t>
        </is>
      </c>
      <c r="J17" s="16" t="inlineStr">
        <is>
          <t>EA</t>
        </is>
      </c>
      <c r="K17" s="16" t="n">
        <v>1</v>
      </c>
      <c r="L17" s="16" t="inlineStr">
        <is>
          <t>PENDIENTE</t>
        </is>
      </c>
      <c r="M17" s="16" t="inlineStr">
        <is>
          <t>Visa: $5,000.00, Transferencia: $10,000.00</t>
        </is>
      </c>
      <c r="N17" s="17" t="n">
        <v>100</v>
      </c>
      <c r="O17" s="17">
        <f>K17*N17</f>
        <v/>
      </c>
      <c r="P17" s="16" t="n">
        <v>7</v>
      </c>
      <c r="Q17" s="17">
        <f>O17*(1+P17/100)</f>
        <v/>
      </c>
      <c r="R17" s="15" t="n">
        <v>46343</v>
      </c>
      <c r="S17" s="16" t="inlineStr">
        <is>
          <t>14 días hábiles a favor</t>
        </is>
      </c>
      <c r="T17" s="16" t="n"/>
      <c r="U17" s="16" t="inlineStr"/>
      <c r="V17" s="16" t="inlineStr"/>
      <c r="W17" s="16" t="inlineStr">
        <is>
          <t>Entregado</t>
        </is>
      </c>
      <c r="X17" s="16" t="inlineStr">
        <is>
          <t>Prueba QA exhaustiva con 1 productos integrados en simultáneo.</t>
        </is>
      </c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8" t="inlineStr">
        <is>
          <t>TOTALES PO PO-QA-ESCALA-1P:</t>
        </is>
      </c>
      <c r="N18" s="16" t="n"/>
      <c r="O18" s="19">
        <f>SUM(O17:O17)</f>
        <v/>
      </c>
      <c r="P18" s="16" t="n"/>
      <c r="Q18" s="20">
        <f>SUM(Q17:Q17)</f>
        <v/>
      </c>
      <c r="R18" s="16" t="n"/>
      <c r="S18" s="16" t="n"/>
      <c r="T18" s="16" t="n"/>
      <c r="U18" s="16" t="n"/>
      <c r="V18" s="16" t="n"/>
      <c r="W18" s="16" t="n"/>
      <c r="X18" s="16" t="n"/>
    </row>
    <row r="19">
      <c r="A19" s="21" t="n">
        <v>46323</v>
      </c>
      <c r="B19" s="22" t="inlineStr">
        <is>
          <t>PO-QA-ESCALA-5P</t>
        </is>
      </c>
      <c r="C19" s="22" t="inlineStr">
        <is>
          <t>Aerolíneas Escaladas S.A. (5 Ítems)</t>
        </is>
      </c>
      <c r="D19" s="22" t="inlineStr">
        <is>
          <t>Tester QA Automático</t>
        </is>
      </c>
      <c r="E19" s="22" t="n"/>
      <c r="F19" s="22" t="inlineStr">
        <is>
          <t>Proveedor Global Corp 1</t>
        </is>
      </c>
      <c r="G19" s="22" t="inlineStr">
        <is>
          <t>PN-PART-001</t>
        </is>
      </c>
      <c r="H19" s="22" t="inlineStr"/>
      <c r="I19" s="22" t="inlineStr">
        <is>
          <t>Componente aeronáutico de prueba número 1 para validación de escala</t>
        </is>
      </c>
      <c r="J19" s="22" t="inlineStr">
        <is>
          <t>EA</t>
        </is>
      </c>
      <c r="K19" s="22" t="n">
        <v>1</v>
      </c>
      <c r="L19" s="22" t="inlineStr">
        <is>
          <t>PENDIENTE</t>
        </is>
      </c>
      <c r="M19" s="22" t="inlineStr">
        <is>
          <t>Visa: $5,000.00, Transferencia: $10,000.00</t>
        </is>
      </c>
      <c r="N19" s="23" t="n">
        <v>100</v>
      </c>
      <c r="O19" s="23">
        <f>K19*N19</f>
        <v/>
      </c>
      <c r="P19" s="22" t="n">
        <v>7</v>
      </c>
      <c r="Q19" s="23">
        <f>O19*(1+P19/100)</f>
        <v/>
      </c>
      <c r="R19" s="21" t="n">
        <v>46343</v>
      </c>
      <c r="S19" s="22" t="inlineStr">
        <is>
          <t>14 días hábiles a favor</t>
        </is>
      </c>
      <c r="T19" s="22" t="n"/>
      <c r="U19" s="22" t="inlineStr"/>
      <c r="V19" s="22" t="inlineStr"/>
      <c r="W19" s="22" t="inlineStr">
        <is>
          <t>Entregado</t>
        </is>
      </c>
      <c r="X19" s="22" t="inlineStr">
        <is>
          <t>Prueba QA exhaustiva con 5 productos integrados en simultáneo.</t>
        </is>
      </c>
    </row>
    <row r="20">
      <c r="A20" s="21" t="n">
        <v>46323</v>
      </c>
      <c r="B20" s="22" t="inlineStr">
        <is>
          <t>PO-QA-ESCALA-5P</t>
        </is>
      </c>
      <c r="C20" s="22" t="inlineStr">
        <is>
          <t>Aerolíneas Escaladas S.A. (5 Ítems)</t>
        </is>
      </c>
      <c r="D20" s="22" t="inlineStr">
        <is>
          <t>Tester QA Automático</t>
        </is>
      </c>
      <c r="E20" s="21" t="n">
        <v>46323</v>
      </c>
      <c r="F20" s="22" t="inlineStr">
        <is>
          <t>Proveedor Global Corp 2</t>
        </is>
      </c>
      <c r="G20" s="22" t="inlineStr">
        <is>
          <t>PN-PART-002</t>
        </is>
      </c>
      <c r="H20" s="22" t="inlineStr"/>
      <c r="I20" s="22" t="inlineStr">
        <is>
          <t>Componente aeronáutico de prueba número 2 para validación de escala</t>
        </is>
      </c>
      <c r="J20" s="22" t="inlineStr">
        <is>
          <t>UND</t>
        </is>
      </c>
      <c r="K20" s="22" t="n">
        <v>2</v>
      </c>
      <c r="L20" s="22" t="inlineStr">
        <is>
          <t>DESPACHADO</t>
        </is>
      </c>
      <c r="M20" s="22" t="inlineStr">
        <is>
          <t>Visa: $5,000.00, Transferencia: $10,000.00</t>
        </is>
      </c>
      <c r="N20" s="23" t="n">
        <v>200</v>
      </c>
      <c r="O20" s="23">
        <f>K20*N20</f>
        <v/>
      </c>
      <c r="P20" s="22" t="n">
        <v>19</v>
      </c>
      <c r="Q20" s="23">
        <f>O20*(1+P20/100)</f>
        <v/>
      </c>
      <c r="R20" s="21" t="n">
        <v>46343</v>
      </c>
      <c r="S20" s="22" t="inlineStr">
        <is>
          <t>14 días hábiles a favor</t>
        </is>
      </c>
      <c r="T20" s="22" t="n"/>
      <c r="U20" s="22" t="inlineStr"/>
      <c r="V20" s="22" t="inlineStr"/>
      <c r="W20" s="22" t="inlineStr">
        <is>
          <t>Entregado</t>
        </is>
      </c>
      <c r="X20" s="22" t="inlineStr">
        <is>
          <t>Prueba QA exhaustiva con 5 productos integrados en simultáneo.</t>
        </is>
      </c>
    </row>
    <row r="21">
      <c r="A21" s="21" t="n">
        <v>46323</v>
      </c>
      <c r="B21" s="22" t="inlineStr">
        <is>
          <t>PO-QA-ESCALA-5P</t>
        </is>
      </c>
      <c r="C21" s="22" t="inlineStr">
        <is>
          <t>Aerolíneas Escaladas S.A. (5 Ítems)</t>
        </is>
      </c>
      <c r="D21" s="22" t="inlineStr">
        <is>
          <t>Tester QA Automático</t>
        </is>
      </c>
      <c r="E21" s="22" t="n"/>
      <c r="F21" s="22" t="inlineStr">
        <is>
          <t>Proveedor Global Corp 3</t>
        </is>
      </c>
      <c r="G21" s="22" t="inlineStr">
        <is>
          <t>PN-PART-003</t>
        </is>
      </c>
      <c r="H21" s="22" t="inlineStr">
        <is>
          <t>ALT-003</t>
        </is>
      </c>
      <c r="I21" s="22" t="inlineStr">
        <is>
          <t>Componente aeronáutico de prueba número 3 para validación de escala</t>
        </is>
      </c>
      <c r="J21" s="22" t="inlineStr">
        <is>
          <t>EA</t>
        </is>
      </c>
      <c r="K21" s="22" t="n">
        <v>3</v>
      </c>
      <c r="L21" s="22" t="inlineStr">
        <is>
          <t>EN FLY</t>
        </is>
      </c>
      <c r="M21" s="22" t="inlineStr">
        <is>
          <t>Visa: $5,000.00, Transferencia: $10,000.00</t>
        </is>
      </c>
      <c r="N21" s="23" t="n">
        <v>300</v>
      </c>
      <c r="O21" s="23">
        <f>K21*N21</f>
        <v/>
      </c>
      <c r="P21" s="22" t="n">
        <v>7</v>
      </c>
      <c r="Q21" s="23">
        <f>O21*(1+P21/100)</f>
        <v/>
      </c>
      <c r="R21" s="21" t="n">
        <v>46343</v>
      </c>
      <c r="S21" s="22" t="inlineStr">
        <is>
          <t>14 días hábiles a favor</t>
        </is>
      </c>
      <c r="T21" s="22" t="n"/>
      <c r="U21" s="22" t="inlineStr"/>
      <c r="V21" s="22" t="inlineStr"/>
      <c r="W21" s="22" t="inlineStr">
        <is>
          <t>Entregado</t>
        </is>
      </c>
      <c r="X21" s="22" t="inlineStr">
        <is>
          <t>Prueba QA exhaustiva con 5 productos integrados en simultáneo.</t>
        </is>
      </c>
    </row>
    <row r="22">
      <c r="A22" s="21" t="n">
        <v>46323</v>
      </c>
      <c r="B22" s="22" t="inlineStr">
        <is>
          <t>PO-QA-ESCALA-5P</t>
        </is>
      </c>
      <c r="C22" s="22" t="inlineStr">
        <is>
          <t>Aerolíneas Escaladas S.A. (5 Ítems)</t>
        </is>
      </c>
      <c r="D22" s="22" t="inlineStr">
        <is>
          <t>Tester QA Automático</t>
        </is>
      </c>
      <c r="E22" s="21" t="n">
        <v>46323</v>
      </c>
      <c r="F22" s="22" t="inlineStr">
        <is>
          <t>Proveedor Global Corp 4</t>
        </is>
      </c>
      <c r="G22" s="22" t="inlineStr">
        <is>
          <t>PN-PART-004</t>
        </is>
      </c>
      <c r="H22" s="22" t="inlineStr"/>
      <c r="I22" s="22" t="inlineStr">
        <is>
          <t>Componente aeronáutico de prueba número 4 para validación de escala</t>
        </is>
      </c>
      <c r="J22" s="22" t="inlineStr">
        <is>
          <t>UND</t>
        </is>
      </c>
      <c r="K22" s="22" t="n">
        <v>4</v>
      </c>
      <c r="L22" s="22" t="inlineStr">
        <is>
          <t>LLEGADO FLY</t>
        </is>
      </c>
      <c r="M22" s="22" t="inlineStr">
        <is>
          <t>Visa: $5,000.00, Transferencia: $10,000.00</t>
        </is>
      </c>
      <c r="N22" s="23" t="n">
        <v>400</v>
      </c>
      <c r="O22" s="23">
        <f>K22*N22</f>
        <v/>
      </c>
      <c r="P22" s="22" t="n">
        <v>19</v>
      </c>
      <c r="Q22" s="23">
        <f>O22*(1+P22/100)</f>
        <v/>
      </c>
      <c r="R22" s="21" t="n">
        <v>46343</v>
      </c>
      <c r="S22" s="22" t="inlineStr">
        <is>
          <t>14 días hábiles a favor</t>
        </is>
      </c>
      <c r="T22" s="22" t="n"/>
      <c r="U22" s="22" t="inlineStr"/>
      <c r="V22" s="22" t="inlineStr"/>
      <c r="W22" s="22" t="inlineStr">
        <is>
          <t>Entregado</t>
        </is>
      </c>
      <c r="X22" s="22" t="inlineStr">
        <is>
          <t>Prueba QA exhaustiva con 5 productos integrados en simultáneo.</t>
        </is>
      </c>
    </row>
    <row r="23">
      <c r="A23" s="21" t="n">
        <v>46323</v>
      </c>
      <c r="B23" s="22" t="inlineStr">
        <is>
          <t>PO-QA-ESCALA-5P</t>
        </is>
      </c>
      <c r="C23" s="22" t="inlineStr">
        <is>
          <t>Aerolíneas Escaladas S.A. (5 Ítems)</t>
        </is>
      </c>
      <c r="D23" s="22" t="inlineStr">
        <is>
          <t>Tester QA Automático</t>
        </is>
      </c>
      <c r="E23" s="22" t="n"/>
      <c r="F23" s="22" t="inlineStr">
        <is>
          <t>Proveedor Global Corp 5</t>
        </is>
      </c>
      <c r="G23" s="22" t="inlineStr">
        <is>
          <t>PN-PART-005</t>
        </is>
      </c>
      <c r="H23" s="22" t="inlineStr"/>
      <c r="I23" s="22" t="inlineStr">
        <is>
          <t>Componente aeronáutico de prueba número 5 para validación de escala</t>
        </is>
      </c>
      <c r="J23" s="22" t="inlineStr">
        <is>
          <t>EA</t>
        </is>
      </c>
      <c r="K23" s="22" t="n">
        <v>5</v>
      </c>
      <c r="L23" s="22" t="inlineStr">
        <is>
          <t>ENTREGADO</t>
        </is>
      </c>
      <c r="M23" s="22" t="inlineStr">
        <is>
          <t>Visa: $5,000.00, Transferencia: $10,000.00</t>
        </is>
      </c>
      <c r="N23" s="23" t="n">
        <v>500</v>
      </c>
      <c r="O23" s="23">
        <f>K23*N23</f>
        <v/>
      </c>
      <c r="P23" s="22" t="n">
        <v>7</v>
      </c>
      <c r="Q23" s="23">
        <f>O23*(1+P23/100)</f>
        <v/>
      </c>
      <c r="R23" s="21" t="n">
        <v>46343</v>
      </c>
      <c r="S23" s="22" t="inlineStr">
        <is>
          <t>14 días hábiles a favor</t>
        </is>
      </c>
      <c r="T23" s="22" t="n"/>
      <c r="U23" s="22" t="inlineStr"/>
      <c r="V23" s="22" t="inlineStr"/>
      <c r="W23" s="22" t="inlineStr">
        <is>
          <t>Entregado</t>
        </is>
      </c>
      <c r="X23" s="22" t="inlineStr">
        <is>
          <t>Prueba QA exhaustiva con 5 productos integrados en simultáneo.</t>
        </is>
      </c>
    </row>
    <row r="24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4" t="inlineStr">
        <is>
          <t>TOTALES PO PO-QA-ESCALA-5P:</t>
        </is>
      </c>
      <c r="N24" s="22" t="n"/>
      <c r="O24" s="25">
        <f>SUM(O19:O23)</f>
        <v/>
      </c>
      <c r="P24" s="22" t="n"/>
      <c r="Q24" s="26">
        <f>SUM(Q19:Q23)</f>
        <v/>
      </c>
      <c r="R24" s="22" t="n"/>
      <c r="S24" s="22" t="n"/>
      <c r="T24" s="22" t="n"/>
      <c r="U24" s="22" t="n"/>
      <c r="V24" s="22" t="n"/>
      <c r="W24" s="22" t="n"/>
      <c r="X24" s="22" t="n"/>
    </row>
  </sheetData>
  <mergeCells count="1"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cols>
    <col width="18" customWidth="1" min="1" max="1"/>
    <col width="21.85" customWidth="1" min="2" max="2"/>
    <col width="18" customWidth="1" min="3" max="3"/>
    <col width="19" customWidth="1" min="4" max="4"/>
    <col width="30.4" customWidth="1" min="5" max="5"/>
    <col width="19.95" customWidth="1" min="6" max="6"/>
    <col width="27.55" customWidth="1" min="7" max="7"/>
    <col width="21.85" customWidth="1" min="8" max="8"/>
    <col width="25.65" customWidth="1" min="9" max="9"/>
    <col width="19" customWidth="1" min="10" max="10"/>
    <col width="18" customWidth="1" min="11" max="11"/>
    <col width="21.85" customWidth="1" min="12" max="12"/>
    <col width="18" customWidth="1" min="13" max="13"/>
    <col width="29.45" customWidth="1" min="14" max="14"/>
    <col width="19" customWidth="1" min="15" max="15"/>
    <col width="18" customWidth="1" min="16" max="16"/>
    <col width="33.25" customWidth="1" min="17" max="17"/>
    <col width="28.5" customWidth="1" min="18" max="18"/>
    <col width="25.65" customWidth="1" min="19" max="19"/>
    <col width="33.25" customWidth="1" min="20" max="20"/>
    <col width="18" customWidth="1" min="21" max="21"/>
    <col width="26.6" customWidth="1" min="22" max="22"/>
    <col width="33.25" customWidth="1" min="23" max="23"/>
    <col width="26.6" customWidth="1" min="24" max="24"/>
    <col width="18" customWidth="1" min="25" max="25"/>
    <col width="18" customWidth="1" min="26" max="26"/>
    <col width="18" customWidth="1" min="27" max="27"/>
  </cols>
  <sheetData>
    <row r="1" ht="28" customHeight="1">
      <c r="A1" s="1" t="inlineStr">
        <is>
          <t>CUADRO DE COMPRAS EN EL EXTERIOR FLY LOGISTIC 2026</t>
        </is>
      </c>
    </row>
    <row r="2" ht="30" customHeight="1">
      <c r="A2" s="2" t="inlineStr">
        <is>
          <t>1. Fecha inicial</t>
        </is>
      </c>
      <c r="B2" s="2" t="inlineStr">
        <is>
          <t>2. PO (Orden de compra)</t>
        </is>
      </c>
      <c r="C2" s="2" t="inlineStr">
        <is>
          <t>3. Cliente</t>
        </is>
      </c>
      <c r="D2" s="2" t="inlineStr">
        <is>
          <t>4. Nombre del asesor</t>
        </is>
      </c>
      <c r="E2" s="2" t="inlineStr">
        <is>
          <t>5. Fecha de compra a proveedores</t>
        </is>
      </c>
      <c r="F2" s="2" t="inlineStr">
        <is>
          <t>6. Proveedor (Origen)</t>
        </is>
      </c>
      <c r="G2" s="2" t="inlineStr">
        <is>
          <t>7. Parte número / Part Number</t>
        </is>
      </c>
      <c r="H2" s="2" t="inlineStr">
        <is>
          <t>8. Parte número alterno</t>
        </is>
      </c>
      <c r="I2" s="2" t="inlineStr">
        <is>
          <t>9. Descripción del producto</t>
        </is>
      </c>
      <c r="J2" s="2" t="inlineStr">
        <is>
          <t>10. Unidad de medida</t>
        </is>
      </c>
      <c r="K2" s="2" t="inlineStr">
        <is>
          <t>11. Cantidad</t>
        </is>
      </c>
      <c r="L2" s="2" t="inlineStr">
        <is>
          <t>12. Estado del Producto</t>
        </is>
      </c>
      <c r="M2" s="2" t="inlineStr">
        <is>
          <t>13. Método de pago</t>
        </is>
      </c>
      <c r="N2" s="2" t="inlineStr">
        <is>
          <t>14. Precio unitario inicial ($)</t>
        </is>
      </c>
      <c r="O2" s="2" t="inlineStr">
        <is>
          <t>15. Precio total ($)</t>
        </is>
      </c>
      <c r="P2" s="2" t="inlineStr">
        <is>
          <t>16. TAX (7%) (%)</t>
        </is>
      </c>
      <c r="Q2" s="2" t="inlineStr">
        <is>
          <t>17. Valor después de TAX + Nac. ($)</t>
        </is>
      </c>
      <c r="R2" s="2" t="inlineStr">
        <is>
          <t>18. Plazo de entrega prometido</t>
        </is>
      </c>
      <c r="S2" s="2" t="inlineStr">
        <is>
          <t>19. Días Hábiles (Semáforo)</t>
        </is>
      </c>
      <c r="T2" s="2" t="inlineStr">
        <is>
          <t>20. Fecha de entrega warehouse EEUU</t>
        </is>
      </c>
      <c r="U2" s="2" t="inlineStr">
        <is>
          <t>21. Tracking</t>
        </is>
      </c>
      <c r="V2" s="2" t="inlineStr">
        <is>
          <t>22. Nacionalización (Estado)</t>
        </is>
      </c>
      <c r="W2" s="2" t="inlineStr">
        <is>
          <t>23. Valor de la nacionalización ($)</t>
        </is>
      </c>
      <c r="X2" s="2" t="inlineStr">
        <is>
          <t>24. Fecha de Nacionalización</t>
        </is>
      </c>
      <c r="Y2" s="2" t="inlineStr">
        <is>
          <t>25. Documentación</t>
        </is>
      </c>
      <c r="Z2" s="2" t="inlineStr">
        <is>
          <t>26. Estado PO</t>
        </is>
      </c>
      <c r="AA2" s="2" t="inlineStr">
        <is>
          <t>27. Observaciones</t>
        </is>
      </c>
    </row>
    <row r="3">
      <c r="A3" s="3" t="n">
        <v>46323</v>
      </c>
      <c r="B3" s="4" t="inlineStr">
        <is>
          <t>PO-QA-9002</t>
        </is>
      </c>
      <c r="C3" s="4" t="inlineStr">
        <is>
          <t>Global Logistics Inter</t>
        </is>
      </c>
      <c r="D3" s="4" t="inlineStr">
        <is>
          <t>Tester QA Automático</t>
        </is>
      </c>
      <c r="E3" s="3" t="n">
        <v>46323</v>
      </c>
      <c r="F3" s="4" t="inlineStr">
        <is>
          <t>Miami Aerospace Supply</t>
        </is>
      </c>
      <c r="G3" s="4" t="inlineStr">
        <is>
          <t>SKU-TURBO-99</t>
        </is>
      </c>
      <c r="H3" s="4" t="inlineStr"/>
      <c r="I3" s="4" t="inlineStr">
        <is>
          <t>Kit de sellos turbina PT6</t>
        </is>
      </c>
      <c r="J3" s="4" t="inlineStr">
        <is>
          <t>KIT</t>
        </is>
      </c>
      <c r="K3" s="4" t="n">
        <v>1</v>
      </c>
      <c r="L3" s="4" t="inlineStr">
        <is>
          <t>EN FLY</t>
        </is>
      </c>
      <c r="M3" s="4" t="inlineStr">
        <is>
          <t>Transferencia</t>
        </is>
      </c>
      <c r="N3" s="5" t="n">
        <v>12500</v>
      </c>
      <c r="O3" s="5">
        <f>K3*N3</f>
        <v/>
      </c>
      <c r="P3" s="4" t="n">
        <v>7</v>
      </c>
      <c r="Q3" s="5">
        <f>O3*(1+P3/100)+W3</f>
        <v/>
      </c>
      <c r="R3" s="3" t="n">
        <v>46318</v>
      </c>
      <c r="S3" s="4" t="inlineStr">
        <is>
          <t>3 días en contra</t>
        </is>
      </c>
      <c r="T3" s="3" t="n">
        <v>46323</v>
      </c>
      <c r="U3" s="4" t="inlineStr">
        <is>
          <t>TRK-US-MIA-998877</t>
        </is>
      </c>
      <c r="V3" s="4" t="inlineStr">
        <is>
          <t>Pago de aranceles</t>
        </is>
      </c>
      <c r="W3" s="5" t="n">
        <v>450</v>
      </c>
      <c r="X3" s="4" t="n"/>
      <c r="Y3" s="4" t="inlineStr"/>
      <c r="Z3" s="4" t="inlineStr">
        <is>
          <t>En proceso</t>
        </is>
      </c>
      <c r="AA3" s="4" t="inlineStr">
        <is>
          <t>Prueba QA orden internacional urgente vencida.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6" t="inlineStr">
        <is>
          <t>TOTALES PO PO-QA-9002:</t>
        </is>
      </c>
      <c r="N4" s="4" t="n"/>
      <c r="O4" s="7">
        <f>SUM(O3:O3)</f>
        <v/>
      </c>
      <c r="P4" s="4" t="n"/>
      <c r="Q4" s="8">
        <f>SUM(Q3:Q3)</f>
        <v/>
      </c>
      <c r="R4" s="4" t="n"/>
      <c r="S4" s="4" t="n"/>
      <c r="T4" s="4" t="n"/>
      <c r="U4" s="4" t="n"/>
      <c r="V4" s="4" t="n"/>
      <c r="W4" s="8">
        <f>SUM(W3:W3)</f>
        <v/>
      </c>
      <c r="X4" s="4" t="n"/>
      <c r="Y4" s="4" t="n"/>
      <c r="Z4" s="4" t="n"/>
      <c r="AA4" s="4" t="n"/>
    </row>
    <row r="5">
      <c r="A5" s="9" t="n">
        <v>46323</v>
      </c>
      <c r="B5" s="10" t="inlineStr">
        <is>
          <t>PO-QA-ESCALA-20P</t>
        </is>
      </c>
      <c r="C5" s="10" t="inlineStr">
        <is>
          <t>Aerolíneas Escaladas S.A. (20 Ítems)</t>
        </is>
      </c>
      <c r="D5" s="10" t="inlineStr">
        <is>
          <t>Tester QA Automático</t>
        </is>
      </c>
      <c r="E5" s="10" t="n"/>
      <c r="F5" s="10" t="inlineStr">
        <is>
          <t>Proveedor Global Corp 1</t>
        </is>
      </c>
      <c r="G5" s="10" t="inlineStr">
        <is>
          <t>PN-PART-001</t>
        </is>
      </c>
      <c r="H5" s="10" t="inlineStr"/>
      <c r="I5" s="10" t="inlineStr">
        <is>
          <t>Componente aeronáutico de prueba número 1 para validación de escala</t>
        </is>
      </c>
      <c r="J5" s="10" t="inlineStr">
        <is>
          <t>EA</t>
        </is>
      </c>
      <c r="K5" s="10" t="n">
        <v>1</v>
      </c>
      <c r="L5" s="10" t="inlineStr">
        <is>
          <t>PENDIENTE</t>
        </is>
      </c>
      <c r="M5" s="10" t="inlineStr">
        <is>
          <t>Visa: $5,000.00, Transferencia: $10,000.00</t>
        </is>
      </c>
      <c r="N5" s="11" t="n">
        <v>100</v>
      </c>
      <c r="O5" s="11">
        <f>K5*N5</f>
        <v/>
      </c>
      <c r="P5" s="10" t="n">
        <v>7</v>
      </c>
      <c r="Q5" s="11">
        <f>O5*(1+P5/100)+W5</f>
        <v/>
      </c>
      <c r="R5" s="9" t="n">
        <v>46343</v>
      </c>
      <c r="S5" s="10" t="inlineStr">
        <is>
          <t>14 días hábiles a favor</t>
        </is>
      </c>
      <c r="T5" s="9" t="n">
        <v>46323</v>
      </c>
      <c r="U5" s="10" t="inlineStr">
        <is>
          <t>TRK-SCALE-20</t>
        </is>
      </c>
      <c r="V5" s="10" t="inlineStr">
        <is>
          <t>Liberado / Nacionalizado</t>
        </is>
      </c>
      <c r="W5" s="11" t="n">
        <v>25</v>
      </c>
      <c r="X5" s="10" t="n"/>
      <c r="Y5" s="10" t="inlineStr"/>
      <c r="Z5" s="10" t="inlineStr">
        <is>
          <t>En proceso</t>
        </is>
      </c>
      <c r="AA5" s="10" t="inlineStr">
        <is>
          <t>Prueba QA exhaustiva con 20 productos integrados en simultáneo.</t>
        </is>
      </c>
    </row>
    <row r="6">
      <c r="A6" s="9" t="n">
        <v>46323</v>
      </c>
      <c r="B6" s="10" t="inlineStr">
        <is>
          <t>PO-QA-ESCALA-20P</t>
        </is>
      </c>
      <c r="C6" s="10" t="inlineStr">
        <is>
          <t>Aerolíneas Escaladas S.A. (20 Ítems)</t>
        </is>
      </c>
      <c r="D6" s="10" t="inlineStr">
        <is>
          <t>Tester QA Automático</t>
        </is>
      </c>
      <c r="E6" s="9" t="n">
        <v>46323</v>
      </c>
      <c r="F6" s="10" t="inlineStr">
        <is>
          <t>Proveedor Global Corp 2</t>
        </is>
      </c>
      <c r="G6" s="10" t="inlineStr">
        <is>
          <t>PN-PART-002</t>
        </is>
      </c>
      <c r="H6" s="10" t="inlineStr"/>
      <c r="I6" s="10" t="inlineStr">
        <is>
          <t>Componente aeronáutico de prueba número 2 para validación de escala</t>
        </is>
      </c>
      <c r="J6" s="10" t="inlineStr">
        <is>
          <t>UND</t>
        </is>
      </c>
      <c r="K6" s="10" t="n">
        <v>2</v>
      </c>
      <c r="L6" s="10" t="inlineStr">
        <is>
          <t>DESPACHADO</t>
        </is>
      </c>
      <c r="M6" s="10" t="inlineStr">
        <is>
          <t>Visa: $5,000.00, Transferencia: $10,000.00</t>
        </is>
      </c>
      <c r="N6" s="11" t="n">
        <v>200</v>
      </c>
      <c r="O6" s="11">
        <f>K6*N6</f>
        <v/>
      </c>
      <c r="P6" s="10" t="n">
        <v>19</v>
      </c>
      <c r="Q6" s="11">
        <f>O6*(1+P6/100)+W6</f>
        <v/>
      </c>
      <c r="R6" s="9" t="n">
        <v>46343</v>
      </c>
      <c r="S6" s="10" t="inlineStr">
        <is>
          <t>14 días hábiles a favor</t>
        </is>
      </c>
      <c r="T6" s="9" t="n">
        <v>46323</v>
      </c>
      <c r="U6" s="10" t="inlineStr">
        <is>
          <t>TRK-SCALE-20</t>
        </is>
      </c>
      <c r="V6" s="10" t="inlineStr">
        <is>
          <t>Liberado / Nacionalizado</t>
        </is>
      </c>
      <c r="W6" s="11" t="n">
        <v>25</v>
      </c>
      <c r="X6" s="10" t="n"/>
      <c r="Y6" s="10" t="inlineStr"/>
      <c r="Z6" s="10" t="inlineStr">
        <is>
          <t>En proceso</t>
        </is>
      </c>
      <c r="AA6" s="10" t="inlineStr">
        <is>
          <t>Prueba QA exhaustiva con 20 productos integrados en simultáneo.</t>
        </is>
      </c>
    </row>
    <row r="7">
      <c r="A7" s="9" t="n">
        <v>46323</v>
      </c>
      <c r="B7" s="10" t="inlineStr">
        <is>
          <t>PO-QA-ESCALA-20P</t>
        </is>
      </c>
      <c r="C7" s="10" t="inlineStr">
        <is>
          <t>Aerolíneas Escaladas S.A. (20 Ítems)</t>
        </is>
      </c>
      <c r="D7" s="10" t="inlineStr">
        <is>
          <t>Tester QA Automático</t>
        </is>
      </c>
      <c r="E7" s="10" t="n"/>
      <c r="F7" s="10" t="inlineStr">
        <is>
          <t>Proveedor Global Corp 3</t>
        </is>
      </c>
      <c r="G7" s="10" t="inlineStr">
        <is>
          <t>PN-PART-003</t>
        </is>
      </c>
      <c r="H7" s="10" t="inlineStr">
        <is>
          <t>ALT-003</t>
        </is>
      </c>
      <c r="I7" s="10" t="inlineStr">
        <is>
          <t>Componente aeronáutico de prueba número 3 para validación de escala</t>
        </is>
      </c>
      <c r="J7" s="10" t="inlineStr">
        <is>
          <t>EA</t>
        </is>
      </c>
      <c r="K7" s="10" t="n">
        <v>3</v>
      </c>
      <c r="L7" s="10" t="inlineStr">
        <is>
          <t>EN FLY</t>
        </is>
      </c>
      <c r="M7" s="10" t="inlineStr">
        <is>
          <t>Visa: $5,000.00, Transferencia: $10,000.00</t>
        </is>
      </c>
      <c r="N7" s="11" t="n">
        <v>300</v>
      </c>
      <c r="O7" s="11">
        <f>K7*N7</f>
        <v/>
      </c>
      <c r="P7" s="10" t="n">
        <v>7</v>
      </c>
      <c r="Q7" s="11">
        <f>O7*(1+P7/100)+W7</f>
        <v/>
      </c>
      <c r="R7" s="9" t="n">
        <v>46343</v>
      </c>
      <c r="S7" s="10" t="inlineStr">
        <is>
          <t>14 días hábiles a favor</t>
        </is>
      </c>
      <c r="T7" s="9" t="n">
        <v>46323</v>
      </c>
      <c r="U7" s="10" t="inlineStr">
        <is>
          <t>TRK-SCALE-20</t>
        </is>
      </c>
      <c r="V7" s="10" t="inlineStr">
        <is>
          <t>Liberado / Nacionalizado</t>
        </is>
      </c>
      <c r="W7" s="11" t="n">
        <v>25</v>
      </c>
      <c r="X7" s="10" t="n"/>
      <c r="Y7" s="10" t="inlineStr"/>
      <c r="Z7" s="10" t="inlineStr">
        <is>
          <t>En proceso</t>
        </is>
      </c>
      <c r="AA7" s="10" t="inlineStr">
        <is>
          <t>Prueba QA exhaustiva con 20 productos integrados en simultáneo.</t>
        </is>
      </c>
    </row>
    <row r="8">
      <c r="A8" s="9" t="n">
        <v>46323</v>
      </c>
      <c r="B8" s="10" t="inlineStr">
        <is>
          <t>PO-QA-ESCALA-20P</t>
        </is>
      </c>
      <c r="C8" s="10" t="inlineStr">
        <is>
          <t>Aerolíneas Escaladas S.A. (20 Ítems)</t>
        </is>
      </c>
      <c r="D8" s="10" t="inlineStr">
        <is>
          <t>Tester QA Automático</t>
        </is>
      </c>
      <c r="E8" s="9" t="n">
        <v>46323</v>
      </c>
      <c r="F8" s="10" t="inlineStr">
        <is>
          <t>Proveedor Global Corp 4</t>
        </is>
      </c>
      <c r="G8" s="10" t="inlineStr">
        <is>
          <t>PN-PART-004</t>
        </is>
      </c>
      <c r="H8" s="10" t="inlineStr"/>
      <c r="I8" s="10" t="inlineStr">
        <is>
          <t>Componente aeronáutico de prueba número 4 para validación de escala</t>
        </is>
      </c>
      <c r="J8" s="10" t="inlineStr">
        <is>
          <t>UND</t>
        </is>
      </c>
      <c r="K8" s="10" t="n">
        <v>4</v>
      </c>
      <c r="L8" s="10" t="inlineStr">
        <is>
          <t>LLEGADO FLY</t>
        </is>
      </c>
      <c r="M8" s="10" t="inlineStr">
        <is>
          <t>Visa: $5,000.00, Transferencia: $10,000.00</t>
        </is>
      </c>
      <c r="N8" s="11" t="n">
        <v>400</v>
      </c>
      <c r="O8" s="11">
        <f>K8*N8</f>
        <v/>
      </c>
      <c r="P8" s="10" t="n">
        <v>19</v>
      </c>
      <c r="Q8" s="11">
        <f>O8*(1+P8/100)+W8</f>
        <v/>
      </c>
      <c r="R8" s="9" t="n">
        <v>46343</v>
      </c>
      <c r="S8" s="10" t="inlineStr">
        <is>
          <t>14 días hábiles a favor</t>
        </is>
      </c>
      <c r="T8" s="9" t="n">
        <v>46323</v>
      </c>
      <c r="U8" s="10" t="inlineStr">
        <is>
          <t>TRK-SCALE-20</t>
        </is>
      </c>
      <c r="V8" s="10" t="inlineStr">
        <is>
          <t>Liberado / Nacionalizado</t>
        </is>
      </c>
      <c r="W8" s="11" t="n">
        <v>25</v>
      </c>
      <c r="X8" s="10" t="n"/>
      <c r="Y8" s="10" t="inlineStr"/>
      <c r="Z8" s="10" t="inlineStr">
        <is>
          <t>En proceso</t>
        </is>
      </c>
      <c r="AA8" s="10" t="inlineStr">
        <is>
          <t>Prueba QA exhaustiva con 20 productos integrados en simultáneo.</t>
        </is>
      </c>
    </row>
    <row r="9">
      <c r="A9" s="9" t="n">
        <v>46323</v>
      </c>
      <c r="B9" s="10" t="inlineStr">
        <is>
          <t>PO-QA-ESCALA-20P</t>
        </is>
      </c>
      <c r="C9" s="10" t="inlineStr">
        <is>
          <t>Aerolíneas Escaladas S.A. (20 Ítems)</t>
        </is>
      </c>
      <c r="D9" s="10" t="inlineStr">
        <is>
          <t>Tester QA Automático</t>
        </is>
      </c>
      <c r="E9" s="10" t="n"/>
      <c r="F9" s="10" t="inlineStr">
        <is>
          <t>Proveedor Global Corp 5</t>
        </is>
      </c>
      <c r="G9" s="10" t="inlineStr">
        <is>
          <t>PN-PART-005</t>
        </is>
      </c>
      <c r="H9" s="10" t="inlineStr"/>
      <c r="I9" s="10" t="inlineStr">
        <is>
          <t>Componente aeronáutico de prueba número 5 para validación de escala</t>
        </is>
      </c>
      <c r="J9" s="10" t="inlineStr">
        <is>
          <t>EA</t>
        </is>
      </c>
      <c r="K9" s="10" t="n">
        <v>5</v>
      </c>
      <c r="L9" s="10" t="inlineStr">
        <is>
          <t>ENTREGADO</t>
        </is>
      </c>
      <c r="M9" s="10" t="inlineStr">
        <is>
          <t>Visa: $5,000.00, Transferencia: $10,000.00</t>
        </is>
      </c>
      <c r="N9" s="11" t="n">
        <v>500</v>
      </c>
      <c r="O9" s="11">
        <f>K9*N9</f>
        <v/>
      </c>
      <c r="P9" s="10" t="n">
        <v>7</v>
      </c>
      <c r="Q9" s="11">
        <f>O9*(1+P9/100)+W9</f>
        <v/>
      </c>
      <c r="R9" s="9" t="n">
        <v>46343</v>
      </c>
      <c r="S9" s="10" t="inlineStr">
        <is>
          <t>14 días hábiles a favor</t>
        </is>
      </c>
      <c r="T9" s="9" t="n">
        <v>46323</v>
      </c>
      <c r="U9" s="10" t="inlineStr">
        <is>
          <t>TRK-SCALE-20</t>
        </is>
      </c>
      <c r="V9" s="10" t="inlineStr">
        <is>
          <t>Liberado / Nacionalizado</t>
        </is>
      </c>
      <c r="W9" s="11" t="n">
        <v>25</v>
      </c>
      <c r="X9" s="10" t="n"/>
      <c r="Y9" s="10" t="inlineStr"/>
      <c r="Z9" s="10" t="inlineStr">
        <is>
          <t>En proceso</t>
        </is>
      </c>
      <c r="AA9" s="10" t="inlineStr">
        <is>
          <t>Prueba QA exhaustiva con 20 productos integrados en simultáneo.</t>
        </is>
      </c>
    </row>
    <row r="10">
      <c r="A10" s="9" t="n">
        <v>46323</v>
      </c>
      <c r="B10" s="10" t="inlineStr">
        <is>
          <t>PO-QA-ESCALA-20P</t>
        </is>
      </c>
      <c r="C10" s="10" t="inlineStr">
        <is>
          <t>Aerolíneas Escaladas S.A. (20 Ítems)</t>
        </is>
      </c>
      <c r="D10" s="10" t="inlineStr">
        <is>
          <t>Tester QA Automático</t>
        </is>
      </c>
      <c r="E10" s="9" t="n">
        <v>46323</v>
      </c>
      <c r="F10" s="10" t="inlineStr">
        <is>
          <t>Proveedor Global Corp 6</t>
        </is>
      </c>
      <c r="G10" s="10" t="inlineStr">
        <is>
          <t>PN-PART-006</t>
        </is>
      </c>
      <c r="H10" s="10" t="inlineStr">
        <is>
          <t>ALT-006</t>
        </is>
      </c>
      <c r="I10" s="10" t="inlineStr">
        <is>
          <t>Componente aeronáutico de prueba número 6 para validación de escala</t>
        </is>
      </c>
      <c r="J10" s="10" t="inlineStr">
        <is>
          <t>UND</t>
        </is>
      </c>
      <c r="K10" s="10" t="n">
        <v>6</v>
      </c>
      <c r="L10" s="10" t="inlineStr">
        <is>
          <t>PENDIENTE</t>
        </is>
      </c>
      <c r="M10" s="10" t="inlineStr">
        <is>
          <t>Visa: $5,000.00, Transferencia: $10,000.00</t>
        </is>
      </c>
      <c r="N10" s="11" t="n">
        <v>600</v>
      </c>
      <c r="O10" s="11">
        <f>K10*N10</f>
        <v/>
      </c>
      <c r="P10" s="10" t="n">
        <v>19</v>
      </c>
      <c r="Q10" s="11">
        <f>O10*(1+P10/100)+W10</f>
        <v/>
      </c>
      <c r="R10" s="9" t="n">
        <v>46343</v>
      </c>
      <c r="S10" s="10" t="inlineStr">
        <is>
          <t>14 días hábiles a favor</t>
        </is>
      </c>
      <c r="T10" s="9" t="n">
        <v>46323</v>
      </c>
      <c r="U10" s="10" t="inlineStr">
        <is>
          <t>TRK-SCALE-20</t>
        </is>
      </c>
      <c r="V10" s="10" t="inlineStr">
        <is>
          <t>Liberado / Nacionalizado</t>
        </is>
      </c>
      <c r="W10" s="11" t="n">
        <v>25</v>
      </c>
      <c r="X10" s="10" t="n"/>
      <c r="Y10" s="10" t="inlineStr"/>
      <c r="Z10" s="10" t="inlineStr">
        <is>
          <t>En proceso</t>
        </is>
      </c>
      <c r="AA10" s="10" t="inlineStr">
        <is>
          <t>Prueba QA exhaustiva con 20 productos integrados en simultáneo.</t>
        </is>
      </c>
    </row>
    <row r="11">
      <c r="A11" s="9" t="n">
        <v>46323</v>
      </c>
      <c r="B11" s="10" t="inlineStr">
        <is>
          <t>PO-QA-ESCALA-20P</t>
        </is>
      </c>
      <c r="C11" s="10" t="inlineStr">
        <is>
          <t>Aerolíneas Escaladas S.A. (20 Ítems)</t>
        </is>
      </c>
      <c r="D11" s="10" t="inlineStr">
        <is>
          <t>Tester QA Automático</t>
        </is>
      </c>
      <c r="E11" s="10" t="n"/>
      <c r="F11" s="10" t="inlineStr">
        <is>
          <t>Proveedor Global Corp 7</t>
        </is>
      </c>
      <c r="G11" s="10" t="inlineStr">
        <is>
          <t>PN-PART-007</t>
        </is>
      </c>
      <c r="H11" s="10" t="inlineStr"/>
      <c r="I11" s="10" t="inlineStr">
        <is>
          <t>Componente aeronáutico de prueba número 7 para validación de escala</t>
        </is>
      </c>
      <c r="J11" s="10" t="inlineStr">
        <is>
          <t>EA</t>
        </is>
      </c>
      <c r="K11" s="10" t="n">
        <v>7</v>
      </c>
      <c r="L11" s="10" t="inlineStr">
        <is>
          <t>DESPACHADO</t>
        </is>
      </c>
      <c r="M11" s="10" t="inlineStr">
        <is>
          <t>Visa: $5,000.00, Transferencia: $10,000.00</t>
        </is>
      </c>
      <c r="N11" s="11" t="n">
        <v>700</v>
      </c>
      <c r="O11" s="11">
        <f>K11*N11</f>
        <v/>
      </c>
      <c r="P11" s="10" t="n">
        <v>7</v>
      </c>
      <c r="Q11" s="11">
        <f>O11*(1+P11/100)+W11</f>
        <v/>
      </c>
      <c r="R11" s="9" t="n">
        <v>46343</v>
      </c>
      <c r="S11" s="10" t="inlineStr">
        <is>
          <t>14 días hábiles a favor</t>
        </is>
      </c>
      <c r="T11" s="9" t="n">
        <v>46323</v>
      </c>
      <c r="U11" s="10" t="inlineStr">
        <is>
          <t>TRK-SCALE-20</t>
        </is>
      </c>
      <c r="V11" s="10" t="inlineStr">
        <is>
          <t>Liberado / Nacionalizado</t>
        </is>
      </c>
      <c r="W11" s="11" t="n">
        <v>25</v>
      </c>
      <c r="X11" s="10" t="n"/>
      <c r="Y11" s="10" t="inlineStr"/>
      <c r="Z11" s="10" t="inlineStr">
        <is>
          <t>En proceso</t>
        </is>
      </c>
      <c r="AA11" s="10" t="inlineStr">
        <is>
          <t>Prueba QA exhaustiva con 20 productos integrados en simultáneo.</t>
        </is>
      </c>
    </row>
    <row r="12">
      <c r="A12" s="9" t="n">
        <v>46323</v>
      </c>
      <c r="B12" s="10" t="inlineStr">
        <is>
          <t>PO-QA-ESCALA-20P</t>
        </is>
      </c>
      <c r="C12" s="10" t="inlineStr">
        <is>
          <t>Aerolíneas Escaladas S.A. (20 Ítems)</t>
        </is>
      </c>
      <c r="D12" s="10" t="inlineStr">
        <is>
          <t>Tester QA Automático</t>
        </is>
      </c>
      <c r="E12" s="9" t="n">
        <v>46323</v>
      </c>
      <c r="F12" s="10" t="inlineStr">
        <is>
          <t>Proveedor Global Corp 8</t>
        </is>
      </c>
      <c r="G12" s="10" t="inlineStr">
        <is>
          <t>PN-PART-008</t>
        </is>
      </c>
      <c r="H12" s="10" t="inlineStr"/>
      <c r="I12" s="10" t="inlineStr">
        <is>
          <t>Componente aeronáutico de prueba número 8 para validación de escala</t>
        </is>
      </c>
      <c r="J12" s="10" t="inlineStr">
        <is>
          <t>UND</t>
        </is>
      </c>
      <c r="K12" s="10" t="n">
        <v>8</v>
      </c>
      <c r="L12" s="10" t="inlineStr">
        <is>
          <t>EN FLY</t>
        </is>
      </c>
      <c r="M12" s="10" t="inlineStr">
        <is>
          <t>Visa: $5,000.00, Transferencia: $10,000.00</t>
        </is>
      </c>
      <c r="N12" s="11" t="n">
        <v>800</v>
      </c>
      <c r="O12" s="11">
        <f>K12*N12</f>
        <v/>
      </c>
      <c r="P12" s="10" t="n">
        <v>19</v>
      </c>
      <c r="Q12" s="11">
        <f>O12*(1+P12/100)+W12</f>
        <v/>
      </c>
      <c r="R12" s="9" t="n">
        <v>46343</v>
      </c>
      <c r="S12" s="10" t="inlineStr">
        <is>
          <t>14 días hábiles a favor</t>
        </is>
      </c>
      <c r="T12" s="9" t="n">
        <v>46323</v>
      </c>
      <c r="U12" s="10" t="inlineStr">
        <is>
          <t>TRK-SCALE-20</t>
        </is>
      </c>
      <c r="V12" s="10" t="inlineStr">
        <is>
          <t>Liberado / Nacionalizado</t>
        </is>
      </c>
      <c r="W12" s="11" t="n">
        <v>25</v>
      </c>
      <c r="X12" s="10" t="n"/>
      <c r="Y12" s="10" t="inlineStr"/>
      <c r="Z12" s="10" t="inlineStr">
        <is>
          <t>En proceso</t>
        </is>
      </c>
      <c r="AA12" s="10" t="inlineStr">
        <is>
          <t>Prueba QA exhaustiva con 20 productos integrados en simultáneo.</t>
        </is>
      </c>
    </row>
    <row r="13">
      <c r="A13" s="9" t="n">
        <v>46323</v>
      </c>
      <c r="B13" s="10" t="inlineStr">
        <is>
          <t>PO-QA-ESCALA-20P</t>
        </is>
      </c>
      <c r="C13" s="10" t="inlineStr">
        <is>
          <t>Aerolíneas Escaladas S.A. (20 Ítems)</t>
        </is>
      </c>
      <c r="D13" s="10" t="inlineStr">
        <is>
          <t>Tester QA Automático</t>
        </is>
      </c>
      <c r="E13" s="10" t="n"/>
      <c r="F13" s="10" t="inlineStr">
        <is>
          <t>Proveedor Global Corp 9</t>
        </is>
      </c>
      <c r="G13" s="10" t="inlineStr">
        <is>
          <t>PN-PART-009</t>
        </is>
      </c>
      <c r="H13" s="10" t="inlineStr">
        <is>
          <t>ALT-009</t>
        </is>
      </c>
      <c r="I13" s="10" t="inlineStr">
        <is>
          <t>Componente aeronáutico de prueba número 9 para validación de escala</t>
        </is>
      </c>
      <c r="J13" s="10" t="inlineStr">
        <is>
          <t>EA</t>
        </is>
      </c>
      <c r="K13" s="10" t="n">
        <v>9</v>
      </c>
      <c r="L13" s="10" t="inlineStr">
        <is>
          <t>LLEGADO FLY</t>
        </is>
      </c>
      <c r="M13" s="10" t="inlineStr">
        <is>
          <t>Visa: $5,000.00, Transferencia: $10,000.00</t>
        </is>
      </c>
      <c r="N13" s="11" t="n">
        <v>900</v>
      </c>
      <c r="O13" s="11">
        <f>K13*N13</f>
        <v/>
      </c>
      <c r="P13" s="10" t="n">
        <v>7</v>
      </c>
      <c r="Q13" s="11">
        <f>O13*(1+P13/100)+W13</f>
        <v/>
      </c>
      <c r="R13" s="9" t="n">
        <v>46343</v>
      </c>
      <c r="S13" s="10" t="inlineStr">
        <is>
          <t>14 días hábiles a favor</t>
        </is>
      </c>
      <c r="T13" s="9" t="n">
        <v>46323</v>
      </c>
      <c r="U13" s="10" t="inlineStr">
        <is>
          <t>TRK-SCALE-20</t>
        </is>
      </c>
      <c r="V13" s="10" t="inlineStr">
        <is>
          <t>Liberado / Nacionalizado</t>
        </is>
      </c>
      <c r="W13" s="11" t="n">
        <v>25</v>
      </c>
      <c r="X13" s="10" t="n"/>
      <c r="Y13" s="10" t="inlineStr"/>
      <c r="Z13" s="10" t="inlineStr">
        <is>
          <t>En proceso</t>
        </is>
      </c>
      <c r="AA13" s="10" t="inlineStr">
        <is>
          <t>Prueba QA exhaustiva con 20 productos integrados en simultáneo.</t>
        </is>
      </c>
    </row>
    <row r="14">
      <c r="A14" s="9" t="n">
        <v>46323</v>
      </c>
      <c r="B14" s="10" t="inlineStr">
        <is>
          <t>PO-QA-ESCALA-20P</t>
        </is>
      </c>
      <c r="C14" s="10" t="inlineStr">
        <is>
          <t>Aerolíneas Escaladas S.A. (20 Ítems)</t>
        </is>
      </c>
      <c r="D14" s="10" t="inlineStr">
        <is>
          <t>Tester QA Automático</t>
        </is>
      </c>
      <c r="E14" s="9" t="n">
        <v>46323</v>
      </c>
      <c r="F14" s="10" t="inlineStr">
        <is>
          <t>Proveedor Global Corp 10</t>
        </is>
      </c>
      <c r="G14" s="10" t="inlineStr">
        <is>
          <t>PN-PART-010</t>
        </is>
      </c>
      <c r="H14" s="10" t="inlineStr"/>
      <c r="I14" s="10" t="inlineStr">
        <is>
          <t>Componente aeronáutico de prueba número 10 para validación de escala</t>
        </is>
      </c>
      <c r="J14" s="10" t="inlineStr">
        <is>
          <t>UND</t>
        </is>
      </c>
      <c r="K14" s="10" t="n">
        <v>10</v>
      </c>
      <c r="L14" s="10" t="inlineStr">
        <is>
          <t>ENTREGADO</t>
        </is>
      </c>
      <c r="M14" s="10" t="inlineStr">
        <is>
          <t>Visa: $5,000.00, Transferencia: $10,000.00</t>
        </is>
      </c>
      <c r="N14" s="11" t="n">
        <v>1000</v>
      </c>
      <c r="O14" s="11">
        <f>K14*N14</f>
        <v/>
      </c>
      <c r="P14" s="10" t="n">
        <v>19</v>
      </c>
      <c r="Q14" s="11">
        <f>O14*(1+P14/100)+W14</f>
        <v/>
      </c>
      <c r="R14" s="9" t="n">
        <v>46343</v>
      </c>
      <c r="S14" s="10" t="inlineStr">
        <is>
          <t>14 días hábiles a favor</t>
        </is>
      </c>
      <c r="T14" s="9" t="n">
        <v>46323</v>
      </c>
      <c r="U14" s="10" t="inlineStr">
        <is>
          <t>TRK-SCALE-20</t>
        </is>
      </c>
      <c r="V14" s="10" t="inlineStr">
        <is>
          <t>Liberado / Nacionalizado</t>
        </is>
      </c>
      <c r="W14" s="11" t="n">
        <v>25</v>
      </c>
      <c r="X14" s="10" t="n"/>
      <c r="Y14" s="10" t="inlineStr"/>
      <c r="Z14" s="10" t="inlineStr">
        <is>
          <t>En proceso</t>
        </is>
      </c>
      <c r="AA14" s="10" t="inlineStr">
        <is>
          <t>Prueba QA exhaustiva con 20 productos integrados en simultáneo.</t>
        </is>
      </c>
    </row>
    <row r="15">
      <c r="A15" s="9" t="n">
        <v>46323</v>
      </c>
      <c r="B15" s="10" t="inlineStr">
        <is>
          <t>PO-QA-ESCALA-20P</t>
        </is>
      </c>
      <c r="C15" s="10" t="inlineStr">
        <is>
          <t>Aerolíneas Escaladas S.A. (20 Ítems)</t>
        </is>
      </c>
      <c r="D15" s="10" t="inlineStr">
        <is>
          <t>Tester QA Automático</t>
        </is>
      </c>
      <c r="E15" s="10" t="n"/>
      <c r="F15" s="10" t="inlineStr">
        <is>
          <t>Proveedor Global Corp 11</t>
        </is>
      </c>
      <c r="G15" s="10" t="inlineStr">
        <is>
          <t>PN-PART-011</t>
        </is>
      </c>
      <c r="H15" s="10" t="inlineStr"/>
      <c r="I15" s="10" t="inlineStr">
        <is>
          <t>Componente aeronáutico de prueba número 11 para validación de escala</t>
        </is>
      </c>
      <c r="J15" s="10" t="inlineStr">
        <is>
          <t>EA</t>
        </is>
      </c>
      <c r="K15" s="10" t="n">
        <v>11</v>
      </c>
      <c r="L15" s="10" t="inlineStr">
        <is>
          <t>PENDIENTE</t>
        </is>
      </c>
      <c r="M15" s="10" t="inlineStr">
        <is>
          <t>Visa: $5,000.00, Transferencia: $10,000.00</t>
        </is>
      </c>
      <c r="N15" s="11" t="n">
        <v>1100</v>
      </c>
      <c r="O15" s="11">
        <f>K15*N15</f>
        <v/>
      </c>
      <c r="P15" s="10" t="n">
        <v>7</v>
      </c>
      <c r="Q15" s="11">
        <f>O15*(1+P15/100)+W15</f>
        <v/>
      </c>
      <c r="R15" s="9" t="n">
        <v>46343</v>
      </c>
      <c r="S15" s="10" t="inlineStr">
        <is>
          <t>14 días hábiles a favor</t>
        </is>
      </c>
      <c r="T15" s="9" t="n">
        <v>46323</v>
      </c>
      <c r="U15" s="10" t="inlineStr">
        <is>
          <t>TRK-SCALE-20</t>
        </is>
      </c>
      <c r="V15" s="10" t="inlineStr">
        <is>
          <t>Liberado / Nacionalizado</t>
        </is>
      </c>
      <c r="W15" s="11" t="n">
        <v>25</v>
      </c>
      <c r="X15" s="10" t="n"/>
      <c r="Y15" s="10" t="inlineStr"/>
      <c r="Z15" s="10" t="inlineStr">
        <is>
          <t>En proceso</t>
        </is>
      </c>
      <c r="AA15" s="10" t="inlineStr">
        <is>
          <t>Prueba QA exhaustiva con 20 productos integrados en simultáneo.</t>
        </is>
      </c>
    </row>
    <row r="16">
      <c r="A16" s="9" t="n">
        <v>46323</v>
      </c>
      <c r="B16" s="10" t="inlineStr">
        <is>
          <t>PO-QA-ESCALA-20P</t>
        </is>
      </c>
      <c r="C16" s="10" t="inlineStr">
        <is>
          <t>Aerolíneas Escaladas S.A. (20 Ítems)</t>
        </is>
      </c>
      <c r="D16" s="10" t="inlineStr">
        <is>
          <t>Tester QA Automático</t>
        </is>
      </c>
      <c r="E16" s="9" t="n">
        <v>46323</v>
      </c>
      <c r="F16" s="10" t="inlineStr">
        <is>
          <t>Proveedor Global Corp 12</t>
        </is>
      </c>
      <c r="G16" s="10" t="inlineStr">
        <is>
          <t>PN-PART-012</t>
        </is>
      </c>
      <c r="H16" s="10" t="inlineStr">
        <is>
          <t>ALT-012</t>
        </is>
      </c>
      <c r="I16" s="10" t="inlineStr">
        <is>
          <t>Componente aeronáutico de prueba número 12 para validación de escala</t>
        </is>
      </c>
      <c r="J16" s="10" t="inlineStr">
        <is>
          <t>UND</t>
        </is>
      </c>
      <c r="K16" s="10" t="n">
        <v>12</v>
      </c>
      <c r="L16" s="10" t="inlineStr">
        <is>
          <t>DESPACHADO</t>
        </is>
      </c>
      <c r="M16" s="10" t="inlineStr">
        <is>
          <t>Visa: $5,000.00, Transferencia: $10,000.00</t>
        </is>
      </c>
      <c r="N16" s="11" t="n">
        <v>1200</v>
      </c>
      <c r="O16" s="11">
        <f>K16*N16</f>
        <v/>
      </c>
      <c r="P16" s="10" t="n">
        <v>19</v>
      </c>
      <c r="Q16" s="11">
        <f>O16*(1+P16/100)+W16</f>
        <v/>
      </c>
      <c r="R16" s="9" t="n">
        <v>46343</v>
      </c>
      <c r="S16" s="10" t="inlineStr">
        <is>
          <t>14 días hábiles a favor</t>
        </is>
      </c>
      <c r="T16" s="9" t="n">
        <v>46323</v>
      </c>
      <c r="U16" s="10" t="inlineStr">
        <is>
          <t>TRK-SCALE-20</t>
        </is>
      </c>
      <c r="V16" s="10" t="inlineStr">
        <is>
          <t>Liberado / Nacionalizado</t>
        </is>
      </c>
      <c r="W16" s="11" t="n">
        <v>25</v>
      </c>
      <c r="X16" s="10" t="n"/>
      <c r="Y16" s="10" t="inlineStr"/>
      <c r="Z16" s="10" t="inlineStr">
        <is>
          <t>En proceso</t>
        </is>
      </c>
      <c r="AA16" s="10" t="inlineStr">
        <is>
          <t>Prueba QA exhaustiva con 20 productos integrados en simultáneo.</t>
        </is>
      </c>
    </row>
    <row r="17">
      <c r="A17" s="9" t="n">
        <v>46323</v>
      </c>
      <c r="B17" s="10" t="inlineStr">
        <is>
          <t>PO-QA-ESCALA-20P</t>
        </is>
      </c>
      <c r="C17" s="10" t="inlineStr">
        <is>
          <t>Aerolíneas Escaladas S.A. (20 Ítems)</t>
        </is>
      </c>
      <c r="D17" s="10" t="inlineStr">
        <is>
          <t>Tester QA Automático</t>
        </is>
      </c>
      <c r="E17" s="10" t="n"/>
      <c r="F17" s="10" t="inlineStr">
        <is>
          <t>Proveedor Global Corp 13</t>
        </is>
      </c>
      <c r="G17" s="10" t="inlineStr">
        <is>
          <t>PN-PART-013</t>
        </is>
      </c>
      <c r="H17" s="10" t="inlineStr"/>
      <c r="I17" s="10" t="inlineStr">
        <is>
          <t>Componente aeronáutico de prueba número 13 para validación de escala</t>
        </is>
      </c>
      <c r="J17" s="10" t="inlineStr">
        <is>
          <t>EA</t>
        </is>
      </c>
      <c r="K17" s="10" t="n">
        <v>13</v>
      </c>
      <c r="L17" s="10" t="inlineStr">
        <is>
          <t>EN FLY</t>
        </is>
      </c>
      <c r="M17" s="10" t="inlineStr">
        <is>
          <t>Visa: $5,000.00, Transferencia: $10,000.00</t>
        </is>
      </c>
      <c r="N17" s="11" t="n">
        <v>1300</v>
      </c>
      <c r="O17" s="11">
        <f>K17*N17</f>
        <v/>
      </c>
      <c r="P17" s="10" t="n">
        <v>7</v>
      </c>
      <c r="Q17" s="11">
        <f>O17*(1+P17/100)+W17</f>
        <v/>
      </c>
      <c r="R17" s="9" t="n">
        <v>46343</v>
      </c>
      <c r="S17" s="10" t="inlineStr">
        <is>
          <t>14 días hábiles a favor</t>
        </is>
      </c>
      <c r="T17" s="9" t="n">
        <v>46323</v>
      </c>
      <c r="U17" s="10" t="inlineStr">
        <is>
          <t>TRK-SCALE-20</t>
        </is>
      </c>
      <c r="V17" s="10" t="inlineStr">
        <is>
          <t>Liberado / Nacionalizado</t>
        </is>
      </c>
      <c r="W17" s="11" t="n">
        <v>25</v>
      </c>
      <c r="X17" s="10" t="n"/>
      <c r="Y17" s="10" t="inlineStr"/>
      <c r="Z17" s="10" t="inlineStr">
        <is>
          <t>En proceso</t>
        </is>
      </c>
      <c r="AA17" s="10" t="inlineStr">
        <is>
          <t>Prueba QA exhaustiva con 20 productos integrados en simultáneo.</t>
        </is>
      </c>
    </row>
    <row r="18">
      <c r="A18" s="9" t="n">
        <v>46323</v>
      </c>
      <c r="B18" s="10" t="inlineStr">
        <is>
          <t>PO-QA-ESCALA-20P</t>
        </is>
      </c>
      <c r="C18" s="10" t="inlineStr">
        <is>
          <t>Aerolíneas Escaladas S.A. (20 Ítems)</t>
        </is>
      </c>
      <c r="D18" s="10" t="inlineStr">
        <is>
          <t>Tester QA Automático</t>
        </is>
      </c>
      <c r="E18" s="9" t="n">
        <v>46323</v>
      </c>
      <c r="F18" s="10" t="inlineStr">
        <is>
          <t>Proveedor Global Corp 14</t>
        </is>
      </c>
      <c r="G18" s="10" t="inlineStr">
        <is>
          <t>PN-PART-014</t>
        </is>
      </c>
      <c r="H18" s="10" t="inlineStr"/>
      <c r="I18" s="10" t="inlineStr">
        <is>
          <t>Componente aeronáutico de prueba número 14 para validación de escala</t>
        </is>
      </c>
      <c r="J18" s="10" t="inlineStr">
        <is>
          <t>UND</t>
        </is>
      </c>
      <c r="K18" s="10" t="n">
        <v>14</v>
      </c>
      <c r="L18" s="10" t="inlineStr">
        <is>
          <t>LLEGADO FLY</t>
        </is>
      </c>
      <c r="M18" s="10" t="inlineStr">
        <is>
          <t>Visa: $5,000.00, Transferencia: $10,000.00</t>
        </is>
      </c>
      <c r="N18" s="11" t="n">
        <v>1400</v>
      </c>
      <c r="O18" s="11">
        <f>K18*N18</f>
        <v/>
      </c>
      <c r="P18" s="10" t="n">
        <v>19</v>
      </c>
      <c r="Q18" s="11">
        <f>O18*(1+P18/100)+W18</f>
        <v/>
      </c>
      <c r="R18" s="9" t="n">
        <v>46343</v>
      </c>
      <c r="S18" s="10" t="inlineStr">
        <is>
          <t>14 días hábiles a favor</t>
        </is>
      </c>
      <c r="T18" s="9" t="n">
        <v>46323</v>
      </c>
      <c r="U18" s="10" t="inlineStr">
        <is>
          <t>TRK-SCALE-20</t>
        </is>
      </c>
      <c r="V18" s="10" t="inlineStr">
        <is>
          <t>Liberado / Nacionalizado</t>
        </is>
      </c>
      <c r="W18" s="11" t="n">
        <v>25</v>
      </c>
      <c r="X18" s="10" t="n"/>
      <c r="Y18" s="10" t="inlineStr"/>
      <c r="Z18" s="10" t="inlineStr">
        <is>
          <t>En proceso</t>
        </is>
      </c>
      <c r="AA18" s="10" t="inlineStr">
        <is>
          <t>Prueba QA exhaustiva con 20 productos integrados en simultáneo.</t>
        </is>
      </c>
    </row>
    <row r="19">
      <c r="A19" s="9" t="n">
        <v>46323</v>
      </c>
      <c r="B19" s="10" t="inlineStr">
        <is>
          <t>PO-QA-ESCALA-20P</t>
        </is>
      </c>
      <c r="C19" s="10" t="inlineStr">
        <is>
          <t>Aerolíneas Escaladas S.A. (20 Ítems)</t>
        </is>
      </c>
      <c r="D19" s="10" t="inlineStr">
        <is>
          <t>Tester QA Automático</t>
        </is>
      </c>
      <c r="E19" s="10" t="n"/>
      <c r="F19" s="10" t="inlineStr">
        <is>
          <t>Proveedor Global Corp 15</t>
        </is>
      </c>
      <c r="G19" s="10" t="inlineStr">
        <is>
          <t>PN-PART-015</t>
        </is>
      </c>
      <c r="H19" s="10" t="inlineStr">
        <is>
          <t>ALT-015</t>
        </is>
      </c>
      <c r="I19" s="10" t="inlineStr">
        <is>
          <t>Componente aeronáutico de prueba número 15 para validación de escala</t>
        </is>
      </c>
      <c r="J19" s="10" t="inlineStr">
        <is>
          <t>EA</t>
        </is>
      </c>
      <c r="K19" s="10" t="n">
        <v>15</v>
      </c>
      <c r="L19" s="10" t="inlineStr">
        <is>
          <t>ENTREGADO</t>
        </is>
      </c>
      <c r="M19" s="10" t="inlineStr">
        <is>
          <t>Visa: $5,000.00, Transferencia: $10,000.00</t>
        </is>
      </c>
      <c r="N19" s="11" t="n">
        <v>1500</v>
      </c>
      <c r="O19" s="11">
        <f>K19*N19</f>
        <v/>
      </c>
      <c r="P19" s="10" t="n">
        <v>7</v>
      </c>
      <c r="Q19" s="11">
        <f>O19*(1+P19/100)+W19</f>
        <v/>
      </c>
      <c r="R19" s="9" t="n">
        <v>46343</v>
      </c>
      <c r="S19" s="10" t="inlineStr">
        <is>
          <t>14 días hábiles a favor</t>
        </is>
      </c>
      <c r="T19" s="9" t="n">
        <v>46323</v>
      </c>
      <c r="U19" s="10" t="inlineStr">
        <is>
          <t>TRK-SCALE-20</t>
        </is>
      </c>
      <c r="V19" s="10" t="inlineStr">
        <is>
          <t>Liberado / Nacionalizado</t>
        </is>
      </c>
      <c r="W19" s="11" t="n">
        <v>25</v>
      </c>
      <c r="X19" s="10" t="n"/>
      <c r="Y19" s="10" t="inlineStr"/>
      <c r="Z19" s="10" t="inlineStr">
        <is>
          <t>En proceso</t>
        </is>
      </c>
      <c r="AA19" s="10" t="inlineStr">
        <is>
          <t>Prueba QA exhaustiva con 20 productos integrados en simultáneo.</t>
        </is>
      </c>
    </row>
    <row r="20">
      <c r="A20" s="9" t="n">
        <v>46323</v>
      </c>
      <c r="B20" s="10" t="inlineStr">
        <is>
          <t>PO-QA-ESCALA-20P</t>
        </is>
      </c>
      <c r="C20" s="10" t="inlineStr">
        <is>
          <t>Aerolíneas Escaladas S.A. (20 Ítems)</t>
        </is>
      </c>
      <c r="D20" s="10" t="inlineStr">
        <is>
          <t>Tester QA Automático</t>
        </is>
      </c>
      <c r="E20" s="9" t="n">
        <v>46323</v>
      </c>
      <c r="F20" s="10" t="inlineStr">
        <is>
          <t>Proveedor Global Corp 16</t>
        </is>
      </c>
      <c r="G20" s="10" t="inlineStr">
        <is>
          <t>PN-PART-016</t>
        </is>
      </c>
      <c r="H20" s="10" t="inlineStr"/>
      <c r="I20" s="10" t="inlineStr">
        <is>
          <t>Componente aeronáutico de prueba número 16 para validación de escala</t>
        </is>
      </c>
      <c r="J20" s="10" t="inlineStr">
        <is>
          <t>UND</t>
        </is>
      </c>
      <c r="K20" s="10" t="n">
        <v>16</v>
      </c>
      <c r="L20" s="10" t="inlineStr">
        <is>
          <t>PENDIENTE</t>
        </is>
      </c>
      <c r="M20" s="10" t="inlineStr">
        <is>
          <t>Visa: $5,000.00, Transferencia: $10,000.00</t>
        </is>
      </c>
      <c r="N20" s="11" t="n">
        <v>1600</v>
      </c>
      <c r="O20" s="11">
        <f>K20*N20</f>
        <v/>
      </c>
      <c r="P20" s="10" t="n">
        <v>19</v>
      </c>
      <c r="Q20" s="11">
        <f>O20*(1+P20/100)+W20</f>
        <v/>
      </c>
      <c r="R20" s="9" t="n">
        <v>46343</v>
      </c>
      <c r="S20" s="10" t="inlineStr">
        <is>
          <t>14 días hábiles a favor</t>
        </is>
      </c>
      <c r="T20" s="9" t="n">
        <v>46323</v>
      </c>
      <c r="U20" s="10" t="inlineStr">
        <is>
          <t>TRK-SCALE-20</t>
        </is>
      </c>
      <c r="V20" s="10" t="inlineStr">
        <is>
          <t>Liberado / Nacionalizado</t>
        </is>
      </c>
      <c r="W20" s="11" t="n">
        <v>25</v>
      </c>
      <c r="X20" s="10" t="n"/>
      <c r="Y20" s="10" t="inlineStr"/>
      <c r="Z20" s="10" t="inlineStr">
        <is>
          <t>En proceso</t>
        </is>
      </c>
      <c r="AA20" s="10" t="inlineStr">
        <is>
          <t>Prueba QA exhaustiva con 20 productos integrados en simultáneo.</t>
        </is>
      </c>
    </row>
    <row r="21">
      <c r="A21" s="9" t="n">
        <v>46323</v>
      </c>
      <c r="B21" s="10" t="inlineStr">
        <is>
          <t>PO-QA-ESCALA-20P</t>
        </is>
      </c>
      <c r="C21" s="10" t="inlineStr">
        <is>
          <t>Aerolíneas Escaladas S.A. (20 Ítems)</t>
        </is>
      </c>
      <c r="D21" s="10" t="inlineStr">
        <is>
          <t>Tester QA Automático</t>
        </is>
      </c>
      <c r="E21" s="10" t="n"/>
      <c r="F21" s="10" t="inlineStr">
        <is>
          <t>Proveedor Global Corp 17</t>
        </is>
      </c>
      <c r="G21" s="10" t="inlineStr">
        <is>
          <t>PN-PART-017</t>
        </is>
      </c>
      <c r="H21" s="10" t="inlineStr"/>
      <c r="I21" s="10" t="inlineStr">
        <is>
          <t>Componente aeronáutico de prueba número 17 para validación de escala</t>
        </is>
      </c>
      <c r="J21" s="10" t="inlineStr">
        <is>
          <t>EA</t>
        </is>
      </c>
      <c r="K21" s="10" t="n">
        <v>17</v>
      </c>
      <c r="L21" s="10" t="inlineStr">
        <is>
          <t>DESPACHADO</t>
        </is>
      </c>
      <c r="M21" s="10" t="inlineStr">
        <is>
          <t>Visa: $5,000.00, Transferencia: $10,000.00</t>
        </is>
      </c>
      <c r="N21" s="11" t="n">
        <v>1700</v>
      </c>
      <c r="O21" s="11">
        <f>K21*N21</f>
        <v/>
      </c>
      <c r="P21" s="10" t="n">
        <v>7</v>
      </c>
      <c r="Q21" s="11">
        <f>O21*(1+P21/100)+W21</f>
        <v/>
      </c>
      <c r="R21" s="9" t="n">
        <v>46343</v>
      </c>
      <c r="S21" s="10" t="inlineStr">
        <is>
          <t>14 días hábiles a favor</t>
        </is>
      </c>
      <c r="T21" s="9" t="n">
        <v>46323</v>
      </c>
      <c r="U21" s="10" t="inlineStr">
        <is>
          <t>TRK-SCALE-20</t>
        </is>
      </c>
      <c r="V21" s="10" t="inlineStr">
        <is>
          <t>Liberado / Nacionalizado</t>
        </is>
      </c>
      <c r="W21" s="11" t="n">
        <v>25</v>
      </c>
      <c r="X21" s="10" t="n"/>
      <c r="Y21" s="10" t="inlineStr"/>
      <c r="Z21" s="10" t="inlineStr">
        <is>
          <t>En proceso</t>
        </is>
      </c>
      <c r="AA21" s="10" t="inlineStr">
        <is>
          <t>Prueba QA exhaustiva con 20 productos integrados en simultáneo.</t>
        </is>
      </c>
    </row>
    <row r="22">
      <c r="A22" s="9" t="n">
        <v>46323</v>
      </c>
      <c r="B22" s="10" t="inlineStr">
        <is>
          <t>PO-QA-ESCALA-20P</t>
        </is>
      </c>
      <c r="C22" s="10" t="inlineStr">
        <is>
          <t>Aerolíneas Escaladas S.A. (20 Ítems)</t>
        </is>
      </c>
      <c r="D22" s="10" t="inlineStr">
        <is>
          <t>Tester QA Automático</t>
        </is>
      </c>
      <c r="E22" s="9" t="n">
        <v>46323</v>
      </c>
      <c r="F22" s="10" t="inlineStr">
        <is>
          <t>Proveedor Global Corp 18</t>
        </is>
      </c>
      <c r="G22" s="10" t="inlineStr">
        <is>
          <t>PN-PART-018</t>
        </is>
      </c>
      <c r="H22" s="10" t="inlineStr">
        <is>
          <t>ALT-018</t>
        </is>
      </c>
      <c r="I22" s="10" t="inlineStr">
        <is>
          <t>Componente aeronáutico de prueba número 18 para validación de escala</t>
        </is>
      </c>
      <c r="J22" s="10" t="inlineStr">
        <is>
          <t>UND</t>
        </is>
      </c>
      <c r="K22" s="10" t="n">
        <v>18</v>
      </c>
      <c r="L22" s="10" t="inlineStr">
        <is>
          <t>EN FLY</t>
        </is>
      </c>
      <c r="M22" s="10" t="inlineStr">
        <is>
          <t>Visa: $5,000.00, Transferencia: $10,000.00</t>
        </is>
      </c>
      <c r="N22" s="11" t="n">
        <v>1800</v>
      </c>
      <c r="O22" s="11">
        <f>K22*N22</f>
        <v/>
      </c>
      <c r="P22" s="10" t="n">
        <v>19</v>
      </c>
      <c r="Q22" s="11">
        <f>O22*(1+P22/100)+W22</f>
        <v/>
      </c>
      <c r="R22" s="9" t="n">
        <v>46343</v>
      </c>
      <c r="S22" s="10" t="inlineStr">
        <is>
          <t>14 días hábiles a favor</t>
        </is>
      </c>
      <c r="T22" s="9" t="n">
        <v>46323</v>
      </c>
      <c r="U22" s="10" t="inlineStr">
        <is>
          <t>TRK-SCALE-20</t>
        </is>
      </c>
      <c r="V22" s="10" t="inlineStr">
        <is>
          <t>Liberado / Nacionalizado</t>
        </is>
      </c>
      <c r="W22" s="11" t="n">
        <v>25</v>
      </c>
      <c r="X22" s="10" t="n"/>
      <c r="Y22" s="10" t="inlineStr"/>
      <c r="Z22" s="10" t="inlineStr">
        <is>
          <t>En proceso</t>
        </is>
      </c>
      <c r="AA22" s="10" t="inlineStr">
        <is>
          <t>Prueba QA exhaustiva con 20 productos integrados en simultáneo.</t>
        </is>
      </c>
    </row>
    <row r="23">
      <c r="A23" s="9" t="n">
        <v>46323</v>
      </c>
      <c r="B23" s="10" t="inlineStr">
        <is>
          <t>PO-QA-ESCALA-20P</t>
        </is>
      </c>
      <c r="C23" s="10" t="inlineStr">
        <is>
          <t>Aerolíneas Escaladas S.A. (20 Ítems)</t>
        </is>
      </c>
      <c r="D23" s="10" t="inlineStr">
        <is>
          <t>Tester QA Automático</t>
        </is>
      </c>
      <c r="E23" s="10" t="n"/>
      <c r="F23" s="10" t="inlineStr">
        <is>
          <t>Proveedor Global Corp 19</t>
        </is>
      </c>
      <c r="G23" s="10" t="inlineStr">
        <is>
          <t>PN-PART-019</t>
        </is>
      </c>
      <c r="H23" s="10" t="inlineStr"/>
      <c r="I23" s="10" t="inlineStr">
        <is>
          <t>Componente aeronáutico de prueba número 19 para validación de escala</t>
        </is>
      </c>
      <c r="J23" s="10" t="inlineStr">
        <is>
          <t>EA</t>
        </is>
      </c>
      <c r="K23" s="10" t="n">
        <v>19</v>
      </c>
      <c r="L23" s="10" t="inlineStr">
        <is>
          <t>LLEGADO FLY</t>
        </is>
      </c>
      <c r="M23" s="10" t="inlineStr">
        <is>
          <t>Visa: $5,000.00, Transferencia: $10,000.00</t>
        </is>
      </c>
      <c r="N23" s="11" t="n">
        <v>1900</v>
      </c>
      <c r="O23" s="11">
        <f>K23*N23</f>
        <v/>
      </c>
      <c r="P23" s="10" t="n">
        <v>7</v>
      </c>
      <c r="Q23" s="11">
        <f>O23*(1+P23/100)+W23</f>
        <v/>
      </c>
      <c r="R23" s="9" t="n">
        <v>46343</v>
      </c>
      <c r="S23" s="10" t="inlineStr">
        <is>
          <t>14 días hábiles a favor</t>
        </is>
      </c>
      <c r="T23" s="9" t="n">
        <v>46323</v>
      </c>
      <c r="U23" s="10" t="inlineStr">
        <is>
          <t>TRK-SCALE-20</t>
        </is>
      </c>
      <c r="V23" s="10" t="inlineStr">
        <is>
          <t>Liberado / Nacionalizado</t>
        </is>
      </c>
      <c r="W23" s="11" t="n">
        <v>25</v>
      </c>
      <c r="X23" s="10" t="n"/>
      <c r="Y23" s="10" t="inlineStr"/>
      <c r="Z23" s="10" t="inlineStr">
        <is>
          <t>En proceso</t>
        </is>
      </c>
      <c r="AA23" s="10" t="inlineStr">
        <is>
          <t>Prueba QA exhaustiva con 20 productos integrados en simultáneo.</t>
        </is>
      </c>
    </row>
    <row r="24">
      <c r="A24" s="9" t="n">
        <v>46323</v>
      </c>
      <c r="B24" s="10" t="inlineStr">
        <is>
          <t>PO-QA-ESCALA-20P</t>
        </is>
      </c>
      <c r="C24" s="10" t="inlineStr">
        <is>
          <t>Aerolíneas Escaladas S.A. (20 Ítems)</t>
        </is>
      </c>
      <c r="D24" s="10" t="inlineStr">
        <is>
          <t>Tester QA Automático</t>
        </is>
      </c>
      <c r="E24" s="9" t="n">
        <v>46323</v>
      </c>
      <c r="F24" s="10" t="inlineStr">
        <is>
          <t>Proveedor Global Corp 20</t>
        </is>
      </c>
      <c r="G24" s="10" t="inlineStr">
        <is>
          <t>PN-PART-020</t>
        </is>
      </c>
      <c r="H24" s="10" t="inlineStr"/>
      <c r="I24" s="10" t="inlineStr">
        <is>
          <t>Componente aeronáutico de prueba número 20 para validación de escala</t>
        </is>
      </c>
      <c r="J24" s="10" t="inlineStr">
        <is>
          <t>UND</t>
        </is>
      </c>
      <c r="K24" s="10" t="n">
        <v>20</v>
      </c>
      <c r="L24" s="10" t="inlineStr">
        <is>
          <t>ENTREGADO</t>
        </is>
      </c>
      <c r="M24" s="10" t="inlineStr">
        <is>
          <t>Visa: $5,000.00, Transferencia: $10,000.00</t>
        </is>
      </c>
      <c r="N24" s="11" t="n">
        <v>2000</v>
      </c>
      <c r="O24" s="11">
        <f>K24*N24</f>
        <v/>
      </c>
      <c r="P24" s="10" t="n">
        <v>19</v>
      </c>
      <c r="Q24" s="11">
        <f>O24*(1+P24/100)+W24</f>
        <v/>
      </c>
      <c r="R24" s="9" t="n">
        <v>46343</v>
      </c>
      <c r="S24" s="10" t="inlineStr">
        <is>
          <t>14 días hábiles a favor</t>
        </is>
      </c>
      <c r="T24" s="9" t="n">
        <v>46323</v>
      </c>
      <c r="U24" s="10" t="inlineStr">
        <is>
          <t>TRK-SCALE-20</t>
        </is>
      </c>
      <c r="V24" s="10" t="inlineStr">
        <is>
          <t>Liberado / Nacionalizado</t>
        </is>
      </c>
      <c r="W24" s="11" t="n">
        <v>25</v>
      </c>
      <c r="X24" s="10" t="n"/>
      <c r="Y24" s="10" t="inlineStr"/>
      <c r="Z24" s="10" t="inlineStr">
        <is>
          <t>En proceso</t>
        </is>
      </c>
      <c r="AA24" s="10" t="inlineStr">
        <is>
          <t>Prueba QA exhaustiva con 20 productos integrados en simultáneo.</t>
        </is>
      </c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2" t="inlineStr">
        <is>
          <t>TOTALES PO PO-QA-ESCALA-20P:</t>
        </is>
      </c>
      <c r="N25" s="10" t="n"/>
      <c r="O25" s="13">
        <f>SUM(O5:O24)</f>
        <v/>
      </c>
      <c r="P25" s="10" t="n"/>
      <c r="Q25" s="14">
        <f>SUM(Q5:Q24)</f>
        <v/>
      </c>
      <c r="R25" s="10" t="n"/>
      <c r="S25" s="10" t="n"/>
      <c r="T25" s="10" t="n"/>
      <c r="U25" s="10" t="n"/>
      <c r="V25" s="10" t="n"/>
      <c r="W25" s="14">
        <f>SUM(W5:W24)</f>
        <v/>
      </c>
      <c r="X25" s="10" t="n"/>
      <c r="Y25" s="10" t="n"/>
      <c r="Z25" s="10" t="n"/>
      <c r="AA25" s="10" t="n"/>
    </row>
  </sheetData>
  <mergeCells count="1">
    <mergeCell ref="A1:A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2026-10-28T20:57:46Z</dcterms:created>
  <dcterms:modified xsi:type="dcterms:W3CDTF">2026-10-28T20:57:47Z</dcterms:modified>
</cp:coreProperties>
</file>