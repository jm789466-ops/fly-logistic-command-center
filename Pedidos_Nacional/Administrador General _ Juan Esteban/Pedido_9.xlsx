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_-"/>
  </numFmts>
  <fonts count="8">
    <font>
      <name val="Calibri"/>
      <family val="2"/>
      <color theme="1"/>
      <sz val="11"/>
      <scheme val="minor"/>
    </font>
    <font>
      <name val="Calibri"/>
      <b val="1"/>
      <color rgb="00000000"/>
      <sz val="20"/>
    </font>
    <font>
      <name val="Calibri"/>
      <color rgb="00000000"/>
      <sz val="11"/>
    </font>
    <font>
      <name val="Calibri"/>
      <b val="1"/>
      <color rgb="00000000"/>
      <sz val="16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FF0000"/>
      <sz val="13"/>
    </font>
    <font>
      <name val="Calibri"/>
      <b val="1"/>
      <color rgb="00002B7F"/>
      <sz val="11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8DB4E2"/>
        <bgColor rgb="008DB4E2"/>
      </patternFill>
    </fill>
    <fill>
      <patternFill patternType="solid">
        <fgColor rgb="00EBF1DE"/>
        <bgColor rgb="00EBF1DE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right" vertical="center"/>
    </xf>
    <xf numFmtId="164" fontId="7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.4" customWidth="1" min="1" max="1"/>
    <col width="11.4" customWidth="1" min="2" max="2"/>
    <col width="27.6" customWidth="1" min="3" max="3"/>
    <col width="26" customWidth="1" min="4" max="4"/>
    <col width="27.6" customWidth="1" min="5" max="5"/>
    <col width="27.6" customWidth="1" min="6" max="6"/>
    <col width="22.8" customWidth="1" min="7" max="7"/>
    <col width="22" customWidth="1" min="8" max="8"/>
    <col width="17.6" customWidth="1" min="9" max="9"/>
    <col width="28.7" customWidth="1" min="10" max="10"/>
    <col width="17.6" customWidth="1" min="11" max="11"/>
    <col width="19.4" customWidth="1" min="12" max="12"/>
    <col width="34.4" customWidth="1" min="13" max="13"/>
    <col width="34.4" customWidth="1" min="14" max="14"/>
    <col width="14" customWidth="1" min="15" max="15"/>
    <col width="47.1" customWidth="1" min="16" max="16"/>
    <col width="23.3" customWidth="1" min="17" max="17"/>
    <col width="20.8" customWidth="1" min="18" max="18"/>
    <col width="16.3" customWidth="1" min="19" max="19"/>
  </cols>
  <sheetData>
    <row r="1" ht="48" customHeight="1">
      <c r="A1" s="1" t="n"/>
      <c r="B1" s="2" t="inlineStr">
        <is>
          <t>CONTROL DE COMPRAS Y ENTREGAS AL CLIENTE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3" t="inlineStr">
        <is>
          <t>COM-FM-08
03-MAR-2021
VERSIÓN ORIGINAL</t>
        </is>
      </c>
      <c r="R1" s="1" t="n"/>
      <c r="S1" s="1" t="n"/>
    </row>
    <row r="2" ht="9" customHeight="1">
      <c r="A2" s="4" t="inlineStr">
        <is>
          <t>CUADRO DE COMPRAS NACIONALES FLY LOGISTIC 2026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4" t="inlineStr">
        <is>
          <t>LOGÍSTICA</t>
        </is>
      </c>
      <c r="S2" s="5" t="n"/>
    </row>
    <row r="3" ht="6.75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 ht="11.25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 ht="35.1" customHeight="1">
      <c r="A5" s="6" t="inlineStr">
        <is>
          <t>PRODUCTO</t>
        </is>
      </c>
      <c r="B5" s="6" t="inlineStr">
        <is>
          <t>CANTIDAD</t>
        </is>
      </c>
      <c r="C5" s="6" t="inlineStr">
        <is>
          <t>CLIENTE</t>
        </is>
      </c>
      <c r="D5" s="6" t="inlineStr">
        <is>
          <t>PRECIO UNITARIO INICIAL</t>
        </is>
      </c>
      <c r="E5" s="6" t="inlineStr">
        <is>
          <t>PRECIO TOTAL</t>
        </is>
      </c>
      <c r="F5" s="6" t="inlineStr">
        <is>
          <t>VALOR TOTAL DESPUÉS DE SHIPPING</t>
        </is>
      </c>
      <c r="G5" s="6" t="inlineStr">
        <is>
          <t>IVA / TAX</t>
        </is>
      </c>
      <c r="H5" s="6" t="inlineStr">
        <is>
          <t>VALOR TOTAL DESPUÉS DE IMPUESTO</t>
        </is>
      </c>
      <c r="I5" s="6" t="inlineStr">
        <is>
          <t>ORDEN DE COMPRA FLY</t>
        </is>
      </c>
      <c r="J5" s="6" t="inlineStr">
        <is>
          <t>PROVEEDOR</t>
        </is>
      </c>
      <c r="K5" s="6" t="inlineStr">
        <is>
          <t>FECHA</t>
        </is>
      </c>
      <c r="L5" s="6" t="inlineStr">
        <is>
          <t>MÉTODO DE PAGO</t>
        </is>
      </c>
      <c r="M5" s="6" t="inlineStr">
        <is>
          <t>ESTADO</t>
        </is>
      </c>
      <c r="N5" s="6" t="inlineStr">
        <is>
          <t>TRACKING INTERNACIONAL</t>
        </is>
      </c>
      <c r="O5" s="6" t="inlineStr">
        <is>
          <t>LLEGA A CLICK MAIL</t>
        </is>
      </c>
      <c r="P5" s="6" t="inlineStr">
        <is>
          <t>OBSERVACIONES / NACIONALIZACIÓN</t>
        </is>
      </c>
      <c r="Q5" s="6" t="inlineStr">
        <is>
          <t>PLAZO DE ENTREGA</t>
        </is>
      </c>
      <c r="R5" s="6" t="inlineStr">
        <is>
          <t>FECHA DE ENTREGA AL CLIENTE</t>
        </is>
      </c>
      <c r="S5" s="6" t="inlineStr">
        <is>
          <t>NÚMERO DE REMISIÓN</t>
        </is>
      </c>
    </row>
    <row r="6" ht="35.1" customHeight="1">
      <c r="A6" s="7" t="inlineStr">
        <is>
          <t>13424234234 - 12 (UND)</t>
        </is>
      </c>
      <c r="B6" s="8" t="n">
        <v>1</v>
      </c>
      <c r="C6" s="3" t="inlineStr">
        <is>
          <t>PEPE</t>
        </is>
      </c>
      <c r="D6" s="9" t="n">
        <v>12345678</v>
      </c>
      <c r="E6" s="10">
        <f>SUM(D6*B6)</f>
        <v/>
      </c>
      <c r="F6" s="9" t="n"/>
      <c r="G6" s="9">
        <f>E6*0.1900</f>
        <v/>
      </c>
      <c r="H6" s="11">
        <f>G6+E6</f>
        <v/>
      </c>
      <c r="I6" s="12" t="n">
        <v>9</v>
      </c>
      <c r="J6" s="13" t="inlineStr">
        <is>
          <t>BORONDO</t>
        </is>
      </c>
      <c r="K6" s="14" t="inlineStr">
        <is>
          <t>2026-10-28</t>
        </is>
      </c>
      <c r="L6" s="3" t="inlineStr">
        <is>
          <t>VISA</t>
        </is>
      </c>
      <c r="M6" s="14" t="inlineStr">
        <is>
          <t>ENTREGADO</t>
        </is>
      </c>
      <c r="N6" s="3" t="inlineStr"/>
      <c r="O6" s="3" t="inlineStr">
        <is>
          <t>No</t>
        </is>
      </c>
      <c r="P6" s="15" t="inlineStr"/>
      <c r="Q6" s="3" t="inlineStr">
        <is>
          <t>2026-10-29</t>
        </is>
      </c>
      <c r="R6" s="3" t="inlineStr">
        <is>
          <t>2026-10-29</t>
        </is>
      </c>
      <c r="S6" s="3" t="inlineStr">
        <is>
          <t>123456789</t>
        </is>
      </c>
    </row>
    <row r="7" ht="35.1" customHeight="1">
      <c r="A7" s="7" t="inlineStr">
        <is>
          <t>13424234234 - 12 (UND)</t>
        </is>
      </c>
      <c r="B7" s="8" t="n">
        <v>1</v>
      </c>
      <c r="C7" s="3" t="inlineStr">
        <is>
          <t>PEPE</t>
        </is>
      </c>
      <c r="D7" s="9" t="n">
        <v>12345678</v>
      </c>
      <c r="E7" s="10">
        <f>SUM(D7*B7)</f>
        <v/>
      </c>
      <c r="F7" s="9" t="n"/>
      <c r="G7" s="9">
        <f>E7*0.1900</f>
        <v/>
      </c>
      <c r="H7" s="11">
        <f>G7+E7</f>
        <v/>
      </c>
      <c r="I7" s="12" t="n">
        <v>9</v>
      </c>
      <c r="J7" s="13" t="inlineStr">
        <is>
          <t>BORONDO</t>
        </is>
      </c>
      <c r="K7" s="14" t="inlineStr">
        <is>
          <t>2026-10-28</t>
        </is>
      </c>
      <c r="L7" s="3" t="inlineStr">
        <is>
          <t>VISA</t>
        </is>
      </c>
      <c r="M7" s="14" t="inlineStr">
        <is>
          <t>ENTREGADO</t>
        </is>
      </c>
      <c r="N7" s="3" t="inlineStr"/>
      <c r="O7" s="3" t="inlineStr">
        <is>
          <t>No</t>
        </is>
      </c>
      <c r="P7" s="15" t="inlineStr"/>
      <c r="Q7" s="3" t="inlineStr">
        <is>
          <t>2026-10-29</t>
        </is>
      </c>
      <c r="R7" s="3" t="inlineStr">
        <is>
          <t>2026-10-29</t>
        </is>
      </c>
      <c r="S7" s="3" t="inlineStr">
        <is>
          <t>123456789</t>
        </is>
      </c>
    </row>
    <row r="8" ht="30" customHeight="1">
      <c r="A8" s="16" t="n"/>
      <c r="B8" s="16" t="n"/>
      <c r="C8" s="17" t="inlineStr">
        <is>
          <t>TOTAL CONSOLIDADO PO 9:</t>
        </is>
      </c>
      <c r="D8" s="16" t="n"/>
      <c r="E8" s="18">
        <f>SUM(E6:E7)</f>
        <v/>
      </c>
      <c r="F8" s="18">
        <f>SUM(F6:F7)</f>
        <v/>
      </c>
      <c r="G8" s="18">
        <f>SUM(G6:G7)</f>
        <v/>
      </c>
      <c r="H8" s="18">
        <f>SUM(H6:H7)</f>
        <v/>
      </c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</row>
  </sheetData>
  <mergeCells count="4">
    <mergeCell ref="A2:Q4"/>
    <mergeCell ref="Q1:S1"/>
    <mergeCell ref="B1:P1"/>
    <mergeCell ref="R2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2026-10-27T17:53:24Z</dcterms:created>
  <dcterms:modified xsi:type="dcterms:W3CDTF">2026-10-27T17:53:24Z</dcterms:modified>
</cp:coreProperties>
</file>