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2060"/>
    </font>
    <font>
      <b val="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33.25" customWidth="1" min="17" max="17"/>
    <col width="28.5" customWidth="1" min="18" max="18"/>
    <col width="25.65" customWidth="1" min="19" max="19"/>
    <col width="33.25" customWidth="1" min="20" max="20"/>
    <col width="18" customWidth="1" min="21" max="21"/>
    <col width="26.6" customWidth="1" min="22" max="22"/>
    <col width="33.25" customWidth="1" min="23" max="23"/>
    <col width="26.6" customWidth="1" min="24" max="24"/>
    <col width="18" customWidth="1" min="25" max="25"/>
    <col width="18" customWidth="1" min="26" max="26"/>
    <col width="18" customWidth="1" min="27" max="27"/>
  </cols>
  <sheetData>
    <row r="1" ht="28" customHeight="1">
      <c r="A1" s="1" t="inlineStr">
        <is>
          <t>CUADRO DE COMPRAS EN EL EXTERIOR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TAX (7%) (%)</t>
        </is>
      </c>
      <c r="Q2" s="2" t="inlineStr">
        <is>
          <t>17. Valor después de TAX + Nac.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warehouse EEUU</t>
        </is>
      </c>
      <c r="U2" s="2" t="inlineStr">
        <is>
          <t>21. Tracking</t>
        </is>
      </c>
      <c r="V2" s="2" t="inlineStr">
        <is>
          <t>22. Nacionalización (Estado)</t>
        </is>
      </c>
      <c r="W2" s="2" t="inlineStr">
        <is>
          <t>23. Valor de la nacionalización ($)</t>
        </is>
      </c>
      <c r="X2" s="2" t="inlineStr">
        <is>
          <t>24. Fecha de Nacionalización</t>
        </is>
      </c>
      <c r="Y2" s="2" t="inlineStr">
        <is>
          <t>25. Documentación</t>
        </is>
      </c>
      <c r="Z2" s="2" t="inlineStr">
        <is>
          <t>26. Estado PO</t>
        </is>
      </c>
      <c r="AA2" s="2" t="inlineStr">
        <is>
          <t>27. Observaciones</t>
        </is>
      </c>
    </row>
    <row r="3">
      <c r="A3" s="3" t="n">
        <v>46323</v>
      </c>
      <c r="B3" s="4" t="inlineStr">
        <is>
          <t>PO-QA-16-ITEMS</t>
        </is>
      </c>
      <c r="C3" s="4" t="inlineStr">
        <is>
          <t>Corporación Aérea Escala (16 Productos)</t>
        </is>
      </c>
      <c r="D3" s="4" t="inlineStr">
        <is>
          <t>Tester QA Automático</t>
        </is>
      </c>
      <c r="E3" s="4" t="n"/>
      <c r="F3" s="4" t="inlineStr">
        <is>
          <t>AeroSupplier Global #1</t>
        </is>
      </c>
      <c r="G3" s="4" t="inlineStr">
        <is>
          <t>PN-16-001</t>
        </is>
      </c>
      <c r="H3" s="4" t="inlineStr"/>
      <c r="I3" s="4" t="inlineStr">
        <is>
          <t>Componente Aeronáutico Certificado Línea #1 (PO de 16 ítems)</t>
        </is>
      </c>
      <c r="J3" s="4" t="inlineStr">
        <is>
          <t>UND</t>
        </is>
      </c>
      <c r="K3" s="4" t="n">
        <v>2</v>
      </c>
      <c r="L3" s="4" t="inlineStr">
        <is>
          <t>PENDIENTE</t>
        </is>
      </c>
      <c r="M3" s="4" t="inlineStr">
        <is>
          <t>Visa: $3,500.00, Transferencia: $6,500.00</t>
        </is>
      </c>
      <c r="N3" s="5" t="n">
        <v>125.5</v>
      </c>
      <c r="O3" s="5">
        <f>K3*N3</f>
        <v/>
      </c>
      <c r="P3" s="4" t="n">
        <v>7</v>
      </c>
      <c r="Q3" s="5">
        <f>O3*(1+P3/100)+W3</f>
        <v/>
      </c>
      <c r="R3" s="3" t="n">
        <v>46333</v>
      </c>
      <c r="S3" s="4" t="inlineStr">
        <is>
          <t>7 días hábiles a favor</t>
        </is>
      </c>
      <c r="T3" s="3" t="n">
        <v>46323</v>
      </c>
      <c r="U3" s="4" t="inlineStr">
        <is>
          <t>TRK-INTL-1699</t>
        </is>
      </c>
      <c r="V3" s="4" t="inlineStr">
        <is>
          <t>En revisión aduanera</t>
        </is>
      </c>
      <c r="W3" s="5" t="n">
        <v>150</v>
      </c>
      <c r="X3" s="4" t="n"/>
      <c r="Y3" s="4" t="inlineStr">
        <is>
          <t>SOPORTE-PO-16.pdf</t>
        </is>
      </c>
      <c r="Z3" s="4" t="inlineStr">
        <is>
          <t>En proceso</t>
        </is>
      </c>
      <c r="AA3" s="4" t="inlineStr">
        <is>
          <t>Orden de prueba automática con 16 producto(s) (Internacional - En proceso).</t>
        </is>
      </c>
    </row>
    <row r="4">
      <c r="A4" s="3" t="n">
        <v>46323</v>
      </c>
      <c r="B4" s="4" t="inlineStr">
        <is>
          <t>PO-QA-16-ITEMS</t>
        </is>
      </c>
      <c r="C4" s="4" t="inlineStr">
        <is>
          <t>Corporación Aérea Escala (16 Productos)</t>
        </is>
      </c>
      <c r="D4" s="4" t="inlineStr">
        <is>
          <t>Tester QA Automático</t>
        </is>
      </c>
      <c r="E4" s="3" t="n">
        <v>46323</v>
      </c>
      <c r="F4" s="4" t="inlineStr">
        <is>
          <t>AeroSupplier Global #2</t>
        </is>
      </c>
      <c r="G4" s="4" t="inlineStr">
        <is>
          <t>PN-16-002</t>
        </is>
      </c>
      <c r="H4" s="4" t="inlineStr">
        <is>
          <t>ALT-002</t>
        </is>
      </c>
      <c r="I4" s="4" t="inlineStr">
        <is>
          <t>Componente Aeronáutico Certificado Línea #2 (PO de 16 ítems)</t>
        </is>
      </c>
      <c r="J4" s="4" t="inlineStr">
        <is>
          <t>EA</t>
        </is>
      </c>
      <c r="K4" s="4" t="n">
        <v>3</v>
      </c>
      <c r="L4" s="4" t="inlineStr">
        <is>
          <t>DESPACHADO</t>
        </is>
      </c>
      <c r="M4" s="4" t="inlineStr">
        <is>
          <t>Visa: $3,500.00, Transferencia: $6,500.00</t>
        </is>
      </c>
      <c r="N4" s="5" t="n">
        <v>251</v>
      </c>
      <c r="O4" s="5">
        <f>K4*N4</f>
        <v/>
      </c>
      <c r="P4" s="4" t="n">
        <v>7</v>
      </c>
      <c r="Q4" s="5">
        <f>O4*(1+P4/100)+W4</f>
        <v/>
      </c>
      <c r="R4" s="3" t="n">
        <v>46333</v>
      </c>
      <c r="S4" s="4" t="inlineStr">
        <is>
          <t>7 días hábiles a favor</t>
        </is>
      </c>
      <c r="T4" s="3" t="n">
        <v>46323</v>
      </c>
      <c r="U4" s="4" t="inlineStr">
        <is>
          <t>TRK-INTL-1699</t>
        </is>
      </c>
      <c r="V4" s="4" t="inlineStr">
        <is>
          <t>En revisión aduanera</t>
        </is>
      </c>
      <c r="W4" s="5" t="n">
        <v>150</v>
      </c>
      <c r="X4" s="4" t="n"/>
      <c r="Y4" s="4" t="inlineStr">
        <is>
          <t>SOPORTE-PO-16.pdf</t>
        </is>
      </c>
      <c r="Z4" s="4" t="inlineStr">
        <is>
          <t>En proceso</t>
        </is>
      </c>
      <c r="AA4" s="4" t="inlineStr">
        <is>
          <t>Orden de prueba automática con 16 producto(s) (Internacional - En proceso).</t>
        </is>
      </c>
    </row>
    <row r="5">
      <c r="A5" s="3" t="n">
        <v>46323</v>
      </c>
      <c r="B5" s="4" t="inlineStr">
        <is>
          <t>PO-QA-16-ITEMS</t>
        </is>
      </c>
      <c r="C5" s="4" t="inlineStr">
        <is>
          <t>Corporación Aérea Escala (16 Productos)</t>
        </is>
      </c>
      <c r="D5" s="4" t="inlineStr">
        <is>
          <t>Tester QA Automático</t>
        </is>
      </c>
      <c r="E5" s="3" t="n">
        <v>46323</v>
      </c>
      <c r="F5" s="4" t="inlineStr">
        <is>
          <t>AeroSupplier Global #3</t>
        </is>
      </c>
      <c r="G5" s="4" t="inlineStr">
        <is>
          <t>PN-16-003</t>
        </is>
      </c>
      <c r="H5" s="4" t="inlineStr"/>
      <c r="I5" s="4" t="inlineStr">
        <is>
          <t>Componente Aeronáutico Certificado Línea #3 (PO de 16 ítems)</t>
        </is>
      </c>
      <c r="J5" s="4" t="inlineStr">
        <is>
          <t>GAL</t>
        </is>
      </c>
      <c r="K5" s="4" t="n">
        <v>4</v>
      </c>
      <c r="L5" s="4" t="inlineStr">
        <is>
          <t>EN FLY</t>
        </is>
      </c>
      <c r="M5" s="4" t="inlineStr">
        <is>
          <t>Visa: $3,500.00, Transferencia: $6,500.00</t>
        </is>
      </c>
      <c r="N5" s="5" t="n">
        <v>376.5</v>
      </c>
      <c r="O5" s="5">
        <f>K5*N5</f>
        <v/>
      </c>
      <c r="P5" s="4" t="n">
        <v>7</v>
      </c>
      <c r="Q5" s="5">
        <f>O5*(1+P5/100)+W5</f>
        <v/>
      </c>
      <c r="R5" s="3" t="n">
        <v>46333</v>
      </c>
      <c r="S5" s="4" t="inlineStr">
        <is>
          <t>7 días hábiles a favor</t>
        </is>
      </c>
      <c r="T5" s="3" t="n">
        <v>46323</v>
      </c>
      <c r="U5" s="4" t="inlineStr">
        <is>
          <t>TRK-INTL-1699</t>
        </is>
      </c>
      <c r="V5" s="4" t="inlineStr">
        <is>
          <t>En revisión aduanera</t>
        </is>
      </c>
      <c r="W5" s="5" t="n">
        <v>150</v>
      </c>
      <c r="X5" s="4" t="n"/>
      <c r="Y5" s="4" t="inlineStr">
        <is>
          <t>SOPORTE-PO-16.pdf</t>
        </is>
      </c>
      <c r="Z5" s="4" t="inlineStr">
        <is>
          <t>En proceso</t>
        </is>
      </c>
      <c r="AA5" s="4" t="inlineStr">
        <is>
          <t>Orden de prueba automática con 16 producto(s) (Internacional - En proceso).</t>
        </is>
      </c>
    </row>
    <row r="6">
      <c r="A6" s="3" t="n">
        <v>46323</v>
      </c>
      <c r="B6" s="4" t="inlineStr">
        <is>
          <t>PO-QA-16-ITEMS</t>
        </is>
      </c>
      <c r="C6" s="4" t="inlineStr">
        <is>
          <t>Corporación Aérea Escala (16 Productos)</t>
        </is>
      </c>
      <c r="D6" s="4" t="inlineStr">
        <is>
          <t>Tester QA Automático</t>
        </is>
      </c>
      <c r="E6" s="3" t="n">
        <v>46323</v>
      </c>
      <c r="F6" s="4" t="inlineStr">
        <is>
          <t>AeroSupplier Global #4</t>
        </is>
      </c>
      <c r="G6" s="4" t="inlineStr">
        <is>
          <t>PN-16-004</t>
        </is>
      </c>
      <c r="H6" s="4" t="inlineStr">
        <is>
          <t>ALT-004</t>
        </is>
      </c>
      <c r="I6" s="4" t="inlineStr">
        <is>
          <t>Componente Aeronáutico Certificado Línea #4 (PO de 16 ítems)</t>
        </is>
      </c>
      <c r="J6" s="4" t="inlineStr">
        <is>
          <t>LT</t>
        </is>
      </c>
      <c r="K6" s="4" t="n">
        <v>1</v>
      </c>
      <c r="L6" s="4" t="inlineStr">
        <is>
          <t>LLEGADO FLY</t>
        </is>
      </c>
      <c r="M6" s="4" t="inlineStr">
        <is>
          <t>Visa: $3,500.00, Transferencia: $6,500.00</t>
        </is>
      </c>
      <c r="N6" s="5" t="n">
        <v>502</v>
      </c>
      <c r="O6" s="5">
        <f>K6*N6</f>
        <v/>
      </c>
      <c r="P6" s="4" t="n">
        <v>7</v>
      </c>
      <c r="Q6" s="5">
        <f>O6*(1+P6/100)+W6</f>
        <v/>
      </c>
      <c r="R6" s="3" t="n">
        <v>46333</v>
      </c>
      <c r="S6" s="4" t="inlineStr">
        <is>
          <t>7 días hábiles a favor</t>
        </is>
      </c>
      <c r="T6" s="3" t="n">
        <v>46323</v>
      </c>
      <c r="U6" s="4" t="inlineStr">
        <is>
          <t>TRK-INTL-1699</t>
        </is>
      </c>
      <c r="V6" s="4" t="inlineStr">
        <is>
          <t>En revisión aduanera</t>
        </is>
      </c>
      <c r="W6" s="5" t="n">
        <v>150</v>
      </c>
      <c r="X6" s="4" t="n"/>
      <c r="Y6" s="4" t="inlineStr">
        <is>
          <t>SOPORTE-PO-16.pdf</t>
        </is>
      </c>
      <c r="Z6" s="4" t="inlineStr">
        <is>
          <t>En proceso</t>
        </is>
      </c>
      <c r="AA6" s="4" t="inlineStr">
        <is>
          <t>Orden de prueba automática con 16 producto(s) (Internacional - En proceso).</t>
        </is>
      </c>
    </row>
    <row r="7">
      <c r="A7" s="3" t="n">
        <v>46323</v>
      </c>
      <c r="B7" s="4" t="inlineStr">
        <is>
          <t>PO-QA-16-ITEMS</t>
        </is>
      </c>
      <c r="C7" s="4" t="inlineStr">
        <is>
          <t>Corporación Aérea Escala (16 Productos)</t>
        </is>
      </c>
      <c r="D7" s="4" t="inlineStr">
        <is>
          <t>Tester QA Automático</t>
        </is>
      </c>
      <c r="E7" s="3" t="n">
        <v>46323</v>
      </c>
      <c r="F7" s="4" t="inlineStr">
        <is>
          <t>AeroSupplier Global #5</t>
        </is>
      </c>
      <c r="G7" s="4" t="inlineStr">
        <is>
          <t>PN-16-005</t>
        </is>
      </c>
      <c r="H7" s="4" t="inlineStr"/>
      <c r="I7" s="4" t="inlineStr">
        <is>
          <t>Componente Aeronáutico Certificado Línea #5 (PO de 16 ítems)</t>
        </is>
      </c>
      <c r="J7" s="4" t="inlineStr">
        <is>
          <t>KIT</t>
        </is>
      </c>
      <c r="K7" s="4" t="n">
        <v>2</v>
      </c>
      <c r="L7" s="4" t="inlineStr">
        <is>
          <t>ENTREGADO</t>
        </is>
      </c>
      <c r="M7" s="4" t="inlineStr">
        <is>
          <t>Visa: $3,500.00, Transferencia: $6,500.00</t>
        </is>
      </c>
      <c r="N7" s="5" t="n">
        <v>627.5</v>
      </c>
      <c r="O7" s="5">
        <f>K7*N7</f>
        <v/>
      </c>
      <c r="P7" s="4" t="n">
        <v>7</v>
      </c>
      <c r="Q7" s="5">
        <f>O7*(1+P7/100)+W7</f>
        <v/>
      </c>
      <c r="R7" s="3" t="n">
        <v>46333</v>
      </c>
      <c r="S7" s="4" t="inlineStr">
        <is>
          <t>7 días hábiles a favor</t>
        </is>
      </c>
      <c r="T7" s="3" t="n">
        <v>46323</v>
      </c>
      <c r="U7" s="4" t="inlineStr">
        <is>
          <t>TRK-INTL-1699</t>
        </is>
      </c>
      <c r="V7" s="4" t="inlineStr">
        <is>
          <t>En revisión aduanera</t>
        </is>
      </c>
      <c r="W7" s="5" t="n">
        <v>150</v>
      </c>
      <c r="X7" s="4" t="n"/>
      <c r="Y7" s="4" t="inlineStr">
        <is>
          <t>SOPORTE-PO-16.pdf</t>
        </is>
      </c>
      <c r="Z7" s="4" t="inlineStr">
        <is>
          <t>En proceso</t>
        </is>
      </c>
      <c r="AA7" s="4" t="inlineStr">
        <is>
          <t>Orden de prueba automática con 16 producto(s) (Internacional - En proceso).</t>
        </is>
      </c>
    </row>
    <row r="8">
      <c r="A8" s="3" t="n">
        <v>46323</v>
      </c>
      <c r="B8" s="4" t="inlineStr">
        <is>
          <t>PO-QA-16-ITEMS</t>
        </is>
      </c>
      <c r="C8" s="4" t="inlineStr">
        <is>
          <t>Corporación Aérea Escala (16 Productos)</t>
        </is>
      </c>
      <c r="D8" s="4" t="inlineStr">
        <is>
          <t>Tester QA Automático</t>
        </is>
      </c>
      <c r="E8" s="4" t="n"/>
      <c r="F8" s="4" t="inlineStr">
        <is>
          <t>AeroSupplier Global #6</t>
        </is>
      </c>
      <c r="G8" s="4" t="inlineStr">
        <is>
          <t>PN-16-006</t>
        </is>
      </c>
      <c r="H8" s="4" t="inlineStr">
        <is>
          <t>ALT-006</t>
        </is>
      </c>
      <c r="I8" s="4" t="inlineStr">
        <is>
          <t>Componente Aeronáutico Certificado Línea #6 (PO de 16 ítems)</t>
        </is>
      </c>
      <c r="J8" s="4" t="inlineStr">
        <is>
          <t>LB</t>
        </is>
      </c>
      <c r="K8" s="4" t="n">
        <v>3</v>
      </c>
      <c r="L8" s="4" t="inlineStr">
        <is>
          <t>PENDIENTE</t>
        </is>
      </c>
      <c r="M8" s="4" t="inlineStr">
        <is>
          <t>Visa: $3,500.00, Transferencia: $6,500.00</t>
        </is>
      </c>
      <c r="N8" s="5" t="n">
        <v>753</v>
      </c>
      <c r="O8" s="5">
        <f>K8*N8</f>
        <v/>
      </c>
      <c r="P8" s="4" t="n">
        <v>7</v>
      </c>
      <c r="Q8" s="5">
        <f>O8*(1+P8/100)+W8</f>
        <v/>
      </c>
      <c r="R8" s="3" t="n">
        <v>46333</v>
      </c>
      <c r="S8" s="4" t="inlineStr">
        <is>
          <t>7 días hábiles a favor</t>
        </is>
      </c>
      <c r="T8" s="3" t="n">
        <v>46323</v>
      </c>
      <c r="U8" s="4" t="inlineStr">
        <is>
          <t>TRK-INTL-1699</t>
        </is>
      </c>
      <c r="V8" s="4" t="inlineStr">
        <is>
          <t>En revisión aduanera</t>
        </is>
      </c>
      <c r="W8" s="5" t="n">
        <v>150</v>
      </c>
      <c r="X8" s="4" t="n"/>
      <c r="Y8" s="4" t="inlineStr">
        <is>
          <t>SOPORTE-PO-16.pdf</t>
        </is>
      </c>
      <c r="Z8" s="4" t="inlineStr">
        <is>
          <t>En proceso</t>
        </is>
      </c>
      <c r="AA8" s="4" t="inlineStr">
        <is>
          <t>Orden de prueba automática con 16 producto(s) (Internacional - En proceso).</t>
        </is>
      </c>
    </row>
    <row r="9">
      <c r="A9" s="3" t="n">
        <v>46323</v>
      </c>
      <c r="B9" s="4" t="inlineStr">
        <is>
          <t>PO-QA-16-ITEMS</t>
        </is>
      </c>
      <c r="C9" s="4" t="inlineStr">
        <is>
          <t>Corporación Aérea Escala (16 Productos)</t>
        </is>
      </c>
      <c r="D9" s="4" t="inlineStr">
        <is>
          <t>Tester QA Automático</t>
        </is>
      </c>
      <c r="E9" s="3" t="n">
        <v>46323</v>
      </c>
      <c r="F9" s="4" t="inlineStr">
        <is>
          <t>AeroSupplier Global #7</t>
        </is>
      </c>
      <c r="G9" s="4" t="inlineStr">
        <is>
          <t>PN-16-007</t>
        </is>
      </c>
      <c r="H9" s="4" t="inlineStr"/>
      <c r="I9" s="4" t="inlineStr">
        <is>
          <t>Componente Aeronáutico Certificado Línea #7 (PO de 16 ítems)</t>
        </is>
      </c>
      <c r="J9" s="4" t="inlineStr">
        <is>
          <t>CAJA</t>
        </is>
      </c>
      <c r="K9" s="4" t="n">
        <v>4</v>
      </c>
      <c r="L9" s="4" t="inlineStr">
        <is>
          <t>DESPACHADO</t>
        </is>
      </c>
      <c r="M9" s="4" t="inlineStr">
        <is>
          <t>Visa: $3,500.00, Transferencia: $6,500.00</t>
        </is>
      </c>
      <c r="N9" s="5" t="n">
        <v>878.5</v>
      </c>
      <c r="O9" s="5">
        <f>K9*N9</f>
        <v/>
      </c>
      <c r="P9" s="4" t="n">
        <v>7</v>
      </c>
      <c r="Q9" s="5">
        <f>O9*(1+P9/100)+W9</f>
        <v/>
      </c>
      <c r="R9" s="3" t="n">
        <v>46333</v>
      </c>
      <c r="S9" s="4" t="inlineStr">
        <is>
          <t>7 días hábiles a favor</t>
        </is>
      </c>
      <c r="T9" s="3" t="n">
        <v>46323</v>
      </c>
      <c r="U9" s="4" t="inlineStr">
        <is>
          <t>TRK-INTL-1699</t>
        </is>
      </c>
      <c r="V9" s="4" t="inlineStr">
        <is>
          <t>En revisión aduanera</t>
        </is>
      </c>
      <c r="W9" s="5" t="n">
        <v>150</v>
      </c>
      <c r="X9" s="4" t="n"/>
      <c r="Y9" s="4" t="inlineStr">
        <is>
          <t>SOPORTE-PO-16.pdf</t>
        </is>
      </c>
      <c r="Z9" s="4" t="inlineStr">
        <is>
          <t>En proceso</t>
        </is>
      </c>
      <c r="AA9" s="4" t="inlineStr">
        <is>
          <t>Orden de prueba automática con 16 producto(s) (Internacional - En proceso).</t>
        </is>
      </c>
    </row>
    <row r="10">
      <c r="A10" s="3" t="n">
        <v>46323</v>
      </c>
      <c r="B10" s="4" t="inlineStr">
        <is>
          <t>PO-QA-16-ITEMS</t>
        </is>
      </c>
      <c r="C10" s="4" t="inlineStr">
        <is>
          <t>Corporación Aérea Escala (16 Productos)</t>
        </is>
      </c>
      <c r="D10" s="4" t="inlineStr">
        <is>
          <t>Tester QA Automático</t>
        </is>
      </c>
      <c r="E10" s="3" t="n">
        <v>46323</v>
      </c>
      <c r="F10" s="4" t="inlineStr">
        <is>
          <t>AeroSupplier Global #8</t>
        </is>
      </c>
      <c r="G10" s="4" t="inlineStr">
        <is>
          <t>PN-16-008</t>
        </is>
      </c>
      <c r="H10" s="4" t="inlineStr">
        <is>
          <t>ALT-008</t>
        </is>
      </c>
      <c r="I10" s="4" t="inlineStr">
        <is>
          <t>Componente Aeronáutico Certificado Línea #8 (PO de 16 ítems)</t>
        </is>
      </c>
      <c r="J10" s="4" t="inlineStr">
        <is>
          <t>UND</t>
        </is>
      </c>
      <c r="K10" s="4" t="n">
        <v>1</v>
      </c>
      <c r="L10" s="4" t="inlineStr">
        <is>
          <t>EN FLY</t>
        </is>
      </c>
      <c r="M10" s="4" t="inlineStr">
        <is>
          <t>Visa: $3,500.00, Transferencia: $6,500.00</t>
        </is>
      </c>
      <c r="N10" s="5" t="n">
        <v>1004</v>
      </c>
      <c r="O10" s="5">
        <f>K10*N10</f>
        <v/>
      </c>
      <c r="P10" s="4" t="n">
        <v>7</v>
      </c>
      <c r="Q10" s="5">
        <f>O10*(1+P10/100)+W10</f>
        <v/>
      </c>
      <c r="R10" s="3" t="n">
        <v>46333</v>
      </c>
      <c r="S10" s="4" t="inlineStr">
        <is>
          <t>7 días hábiles a favor</t>
        </is>
      </c>
      <c r="T10" s="3" t="n">
        <v>46323</v>
      </c>
      <c r="U10" s="4" t="inlineStr">
        <is>
          <t>TRK-INTL-1699</t>
        </is>
      </c>
      <c r="V10" s="4" t="inlineStr">
        <is>
          <t>En revisión aduanera</t>
        </is>
      </c>
      <c r="W10" s="5" t="n">
        <v>150</v>
      </c>
      <c r="X10" s="4" t="n"/>
      <c r="Y10" s="4" t="inlineStr">
        <is>
          <t>SOPORTE-PO-16.pdf</t>
        </is>
      </c>
      <c r="Z10" s="4" t="inlineStr">
        <is>
          <t>En proceso</t>
        </is>
      </c>
      <c r="AA10" s="4" t="inlineStr">
        <is>
          <t>Orden de prueba automática con 16 producto(s) (Internacional - En proceso).</t>
        </is>
      </c>
    </row>
    <row r="11">
      <c r="A11" s="3" t="n">
        <v>46323</v>
      </c>
      <c r="B11" s="4" t="inlineStr">
        <is>
          <t>PO-QA-16-ITEMS</t>
        </is>
      </c>
      <c r="C11" s="4" t="inlineStr">
        <is>
          <t>Corporación Aérea Escala (16 Productos)</t>
        </is>
      </c>
      <c r="D11" s="4" t="inlineStr">
        <is>
          <t>Tester QA Automático</t>
        </is>
      </c>
      <c r="E11" s="3" t="n">
        <v>46323</v>
      </c>
      <c r="F11" s="4" t="inlineStr">
        <is>
          <t>AeroSupplier Global #9</t>
        </is>
      </c>
      <c r="G11" s="4" t="inlineStr">
        <is>
          <t>PN-16-009</t>
        </is>
      </c>
      <c r="H11" s="4" t="inlineStr"/>
      <c r="I11" s="4" t="inlineStr">
        <is>
          <t>Componente Aeronáutico Certificado Línea #9 (PO de 16 ítems)</t>
        </is>
      </c>
      <c r="J11" s="4" t="inlineStr">
        <is>
          <t>EA</t>
        </is>
      </c>
      <c r="K11" s="4" t="n">
        <v>2</v>
      </c>
      <c r="L11" s="4" t="inlineStr">
        <is>
          <t>LLEGADO FLY</t>
        </is>
      </c>
      <c r="M11" s="4" t="inlineStr">
        <is>
          <t>Visa: $3,500.00, Transferencia: $6,500.00</t>
        </is>
      </c>
      <c r="N11" s="5" t="n">
        <v>1129.5</v>
      </c>
      <c r="O11" s="5">
        <f>K11*N11</f>
        <v/>
      </c>
      <c r="P11" s="4" t="n">
        <v>7</v>
      </c>
      <c r="Q11" s="5">
        <f>O11*(1+P11/100)+W11</f>
        <v/>
      </c>
      <c r="R11" s="3" t="n">
        <v>46333</v>
      </c>
      <c r="S11" s="4" t="inlineStr">
        <is>
          <t>7 días hábiles a favor</t>
        </is>
      </c>
      <c r="T11" s="3" t="n">
        <v>46323</v>
      </c>
      <c r="U11" s="4" t="inlineStr">
        <is>
          <t>TRK-INTL-1699</t>
        </is>
      </c>
      <c r="V11" s="4" t="inlineStr">
        <is>
          <t>En revisión aduanera</t>
        </is>
      </c>
      <c r="W11" s="5" t="n">
        <v>150</v>
      </c>
      <c r="X11" s="4" t="n"/>
      <c r="Y11" s="4" t="inlineStr">
        <is>
          <t>SOPORTE-PO-16.pdf</t>
        </is>
      </c>
      <c r="Z11" s="4" t="inlineStr">
        <is>
          <t>En proceso</t>
        </is>
      </c>
      <c r="AA11" s="4" t="inlineStr">
        <is>
          <t>Orden de prueba automática con 16 producto(s) (Internacional - En proceso).</t>
        </is>
      </c>
    </row>
    <row r="12">
      <c r="A12" s="3" t="n">
        <v>46323</v>
      </c>
      <c r="B12" s="4" t="inlineStr">
        <is>
          <t>PO-QA-16-ITEMS</t>
        </is>
      </c>
      <c r="C12" s="4" t="inlineStr">
        <is>
          <t>Corporación Aérea Escala (16 Productos)</t>
        </is>
      </c>
      <c r="D12" s="4" t="inlineStr">
        <is>
          <t>Tester QA Automático</t>
        </is>
      </c>
      <c r="E12" s="3" t="n">
        <v>46323</v>
      </c>
      <c r="F12" s="4" t="inlineStr">
        <is>
          <t>AeroSupplier Global #10</t>
        </is>
      </c>
      <c r="G12" s="4" t="inlineStr">
        <is>
          <t>PN-16-010</t>
        </is>
      </c>
      <c r="H12" s="4" t="inlineStr">
        <is>
          <t>ALT-010</t>
        </is>
      </c>
      <c r="I12" s="4" t="inlineStr">
        <is>
          <t>Componente Aeronáutico Certificado Línea #10 (PO de 16 ítems)</t>
        </is>
      </c>
      <c r="J12" s="4" t="inlineStr">
        <is>
          <t>GAL</t>
        </is>
      </c>
      <c r="K12" s="4" t="n">
        <v>3</v>
      </c>
      <c r="L12" s="4" t="inlineStr">
        <is>
          <t>ENTREGADO</t>
        </is>
      </c>
      <c r="M12" s="4" t="inlineStr">
        <is>
          <t>Visa: $3,500.00, Transferencia: $6,500.00</t>
        </is>
      </c>
      <c r="N12" s="5" t="n">
        <v>1255</v>
      </c>
      <c r="O12" s="5">
        <f>K12*N12</f>
        <v/>
      </c>
      <c r="P12" s="4" t="n">
        <v>7</v>
      </c>
      <c r="Q12" s="5">
        <f>O12*(1+P12/100)+W12</f>
        <v/>
      </c>
      <c r="R12" s="3" t="n">
        <v>46333</v>
      </c>
      <c r="S12" s="4" t="inlineStr">
        <is>
          <t>7 días hábiles a favor</t>
        </is>
      </c>
      <c r="T12" s="3" t="n">
        <v>46323</v>
      </c>
      <c r="U12" s="4" t="inlineStr">
        <is>
          <t>TRK-INTL-1699</t>
        </is>
      </c>
      <c r="V12" s="4" t="inlineStr">
        <is>
          <t>En revisión aduanera</t>
        </is>
      </c>
      <c r="W12" s="5" t="n">
        <v>150</v>
      </c>
      <c r="X12" s="4" t="n"/>
      <c r="Y12" s="4" t="inlineStr">
        <is>
          <t>SOPORTE-PO-16.pdf</t>
        </is>
      </c>
      <c r="Z12" s="4" t="inlineStr">
        <is>
          <t>En proceso</t>
        </is>
      </c>
      <c r="AA12" s="4" t="inlineStr">
        <is>
          <t>Orden de prueba automática con 16 producto(s) (Internacional - En proceso).</t>
        </is>
      </c>
    </row>
    <row r="13">
      <c r="A13" s="3" t="n">
        <v>46323</v>
      </c>
      <c r="B13" s="4" t="inlineStr">
        <is>
          <t>PO-QA-16-ITEMS</t>
        </is>
      </c>
      <c r="C13" s="4" t="inlineStr">
        <is>
          <t>Corporación Aérea Escala (16 Productos)</t>
        </is>
      </c>
      <c r="D13" s="4" t="inlineStr">
        <is>
          <t>Tester QA Automático</t>
        </is>
      </c>
      <c r="E13" s="4" t="n"/>
      <c r="F13" s="4" t="inlineStr">
        <is>
          <t>AeroSupplier Global #11</t>
        </is>
      </c>
      <c r="G13" s="4" t="inlineStr">
        <is>
          <t>PN-16-011</t>
        </is>
      </c>
      <c r="H13" s="4" t="inlineStr"/>
      <c r="I13" s="4" t="inlineStr">
        <is>
          <t>Componente Aeronáutico Certificado Línea #11 (PO de 16 ítems)</t>
        </is>
      </c>
      <c r="J13" s="4" t="inlineStr">
        <is>
          <t>LT</t>
        </is>
      </c>
      <c r="K13" s="4" t="n">
        <v>4</v>
      </c>
      <c r="L13" s="4" t="inlineStr">
        <is>
          <t>PENDIENTE</t>
        </is>
      </c>
      <c r="M13" s="4" t="inlineStr">
        <is>
          <t>Visa: $3,500.00, Transferencia: $6,500.00</t>
        </is>
      </c>
      <c r="N13" s="5" t="n">
        <v>1380.5</v>
      </c>
      <c r="O13" s="5">
        <f>K13*N13</f>
        <v/>
      </c>
      <c r="P13" s="4" t="n">
        <v>7</v>
      </c>
      <c r="Q13" s="5">
        <f>O13*(1+P13/100)+W13</f>
        <v/>
      </c>
      <c r="R13" s="3" t="n">
        <v>46333</v>
      </c>
      <c r="S13" s="4" t="inlineStr">
        <is>
          <t>7 días hábiles a favor</t>
        </is>
      </c>
      <c r="T13" s="3" t="n">
        <v>46323</v>
      </c>
      <c r="U13" s="4" t="inlineStr">
        <is>
          <t>TRK-INTL-1699</t>
        </is>
      </c>
      <c r="V13" s="4" t="inlineStr">
        <is>
          <t>En revisión aduanera</t>
        </is>
      </c>
      <c r="W13" s="5" t="n">
        <v>150</v>
      </c>
      <c r="X13" s="4" t="n"/>
      <c r="Y13" s="4" t="inlineStr">
        <is>
          <t>SOPORTE-PO-16.pdf</t>
        </is>
      </c>
      <c r="Z13" s="4" t="inlineStr">
        <is>
          <t>En proceso</t>
        </is>
      </c>
      <c r="AA13" s="4" t="inlineStr">
        <is>
          <t>Orden de prueba automática con 16 producto(s) (Internacional - En proceso).</t>
        </is>
      </c>
    </row>
    <row r="14">
      <c r="A14" s="3" t="n">
        <v>46323</v>
      </c>
      <c r="B14" s="4" t="inlineStr">
        <is>
          <t>PO-QA-16-ITEMS</t>
        </is>
      </c>
      <c r="C14" s="4" t="inlineStr">
        <is>
          <t>Corporación Aérea Escala (16 Productos)</t>
        </is>
      </c>
      <c r="D14" s="4" t="inlineStr">
        <is>
          <t>Tester QA Automático</t>
        </is>
      </c>
      <c r="E14" s="3" t="n">
        <v>46323</v>
      </c>
      <c r="F14" s="4" t="inlineStr">
        <is>
          <t>AeroSupplier Global #12</t>
        </is>
      </c>
      <c r="G14" s="4" t="inlineStr">
        <is>
          <t>PN-16-012</t>
        </is>
      </c>
      <c r="H14" s="4" t="inlineStr">
        <is>
          <t>ALT-012</t>
        </is>
      </c>
      <c r="I14" s="4" t="inlineStr">
        <is>
          <t>Componente Aeronáutico Certificado Línea #12 (PO de 16 ítems)</t>
        </is>
      </c>
      <c r="J14" s="4" t="inlineStr">
        <is>
          <t>KIT</t>
        </is>
      </c>
      <c r="K14" s="4" t="n">
        <v>1</v>
      </c>
      <c r="L14" s="4" t="inlineStr">
        <is>
          <t>DESPACHADO</t>
        </is>
      </c>
      <c r="M14" s="4" t="inlineStr">
        <is>
          <t>Visa: $3,500.00, Transferencia: $6,500.00</t>
        </is>
      </c>
      <c r="N14" s="5" t="n">
        <v>1506</v>
      </c>
      <c r="O14" s="5">
        <f>K14*N14</f>
        <v/>
      </c>
      <c r="P14" s="4" t="n">
        <v>7</v>
      </c>
      <c r="Q14" s="5">
        <f>O14*(1+P14/100)+W14</f>
        <v/>
      </c>
      <c r="R14" s="3" t="n">
        <v>46333</v>
      </c>
      <c r="S14" s="4" t="inlineStr">
        <is>
          <t>7 días hábiles a favor</t>
        </is>
      </c>
      <c r="T14" s="3" t="n">
        <v>46323</v>
      </c>
      <c r="U14" s="4" t="inlineStr">
        <is>
          <t>TRK-INTL-1699</t>
        </is>
      </c>
      <c r="V14" s="4" t="inlineStr">
        <is>
          <t>En revisión aduanera</t>
        </is>
      </c>
      <c r="W14" s="5" t="n">
        <v>150</v>
      </c>
      <c r="X14" s="4" t="n"/>
      <c r="Y14" s="4" t="inlineStr">
        <is>
          <t>SOPORTE-PO-16.pdf</t>
        </is>
      </c>
      <c r="Z14" s="4" t="inlineStr">
        <is>
          <t>En proceso</t>
        </is>
      </c>
      <c r="AA14" s="4" t="inlineStr">
        <is>
          <t>Orden de prueba automática con 16 producto(s) (Internacional - En proceso).</t>
        </is>
      </c>
    </row>
    <row r="15">
      <c r="A15" s="3" t="n">
        <v>46323</v>
      </c>
      <c r="B15" s="4" t="inlineStr">
        <is>
          <t>PO-QA-16-ITEMS</t>
        </is>
      </c>
      <c r="C15" s="4" t="inlineStr">
        <is>
          <t>Corporación Aérea Escala (16 Productos)</t>
        </is>
      </c>
      <c r="D15" s="4" t="inlineStr">
        <is>
          <t>Tester QA Automático</t>
        </is>
      </c>
      <c r="E15" s="3" t="n">
        <v>46323</v>
      </c>
      <c r="F15" s="4" t="inlineStr">
        <is>
          <t>AeroSupplier Global #13</t>
        </is>
      </c>
      <c r="G15" s="4" t="inlineStr">
        <is>
          <t>PN-16-013</t>
        </is>
      </c>
      <c r="H15" s="4" t="inlineStr"/>
      <c r="I15" s="4" t="inlineStr">
        <is>
          <t>Componente Aeronáutico Certificado Línea #13 (PO de 16 ítems)</t>
        </is>
      </c>
      <c r="J15" s="4" t="inlineStr">
        <is>
          <t>LB</t>
        </is>
      </c>
      <c r="K15" s="4" t="n">
        <v>2</v>
      </c>
      <c r="L15" s="4" t="inlineStr">
        <is>
          <t>EN FLY</t>
        </is>
      </c>
      <c r="M15" s="4" t="inlineStr">
        <is>
          <t>Visa: $3,500.00, Transferencia: $6,500.00</t>
        </is>
      </c>
      <c r="N15" s="5" t="n">
        <v>1631.5</v>
      </c>
      <c r="O15" s="5">
        <f>K15*N15</f>
        <v/>
      </c>
      <c r="P15" s="4" t="n">
        <v>7</v>
      </c>
      <c r="Q15" s="5">
        <f>O15*(1+P15/100)+W15</f>
        <v/>
      </c>
      <c r="R15" s="3" t="n">
        <v>46333</v>
      </c>
      <c r="S15" s="4" t="inlineStr">
        <is>
          <t>7 días hábiles a favor</t>
        </is>
      </c>
      <c r="T15" s="3" t="n">
        <v>46323</v>
      </c>
      <c r="U15" s="4" t="inlineStr">
        <is>
          <t>TRK-INTL-1699</t>
        </is>
      </c>
      <c r="V15" s="4" t="inlineStr">
        <is>
          <t>En revisión aduanera</t>
        </is>
      </c>
      <c r="W15" s="5" t="n">
        <v>150</v>
      </c>
      <c r="X15" s="4" t="n"/>
      <c r="Y15" s="4" t="inlineStr">
        <is>
          <t>SOPORTE-PO-16.pdf</t>
        </is>
      </c>
      <c r="Z15" s="4" t="inlineStr">
        <is>
          <t>En proceso</t>
        </is>
      </c>
      <c r="AA15" s="4" t="inlineStr">
        <is>
          <t>Orden de prueba automática con 16 producto(s) (Internacional - En proceso).</t>
        </is>
      </c>
    </row>
    <row r="16">
      <c r="A16" s="3" t="n">
        <v>46323</v>
      </c>
      <c r="B16" s="4" t="inlineStr">
        <is>
          <t>PO-QA-16-ITEMS</t>
        </is>
      </c>
      <c r="C16" s="4" t="inlineStr">
        <is>
          <t>Corporación Aérea Escala (16 Productos)</t>
        </is>
      </c>
      <c r="D16" s="4" t="inlineStr">
        <is>
          <t>Tester QA Automático</t>
        </is>
      </c>
      <c r="E16" s="3" t="n">
        <v>46323</v>
      </c>
      <c r="F16" s="4" t="inlineStr">
        <is>
          <t>AeroSupplier Global #14</t>
        </is>
      </c>
      <c r="G16" s="4" t="inlineStr">
        <is>
          <t>PN-16-014</t>
        </is>
      </c>
      <c r="H16" s="4" t="inlineStr">
        <is>
          <t>ALT-014</t>
        </is>
      </c>
      <c r="I16" s="4" t="inlineStr">
        <is>
          <t>Componente Aeronáutico Certificado Línea #14 (PO de 16 ítems)</t>
        </is>
      </c>
      <c r="J16" s="4" t="inlineStr">
        <is>
          <t>CAJA</t>
        </is>
      </c>
      <c r="K16" s="4" t="n">
        <v>3</v>
      </c>
      <c r="L16" s="4" t="inlineStr">
        <is>
          <t>LLEGADO FLY</t>
        </is>
      </c>
      <c r="M16" s="4" t="inlineStr">
        <is>
          <t>Visa: $3,500.00, Transferencia: $6,500.00</t>
        </is>
      </c>
      <c r="N16" s="5" t="n">
        <v>1757</v>
      </c>
      <c r="O16" s="5">
        <f>K16*N16</f>
        <v/>
      </c>
      <c r="P16" s="4" t="n">
        <v>7</v>
      </c>
      <c r="Q16" s="5">
        <f>O16*(1+P16/100)+W16</f>
        <v/>
      </c>
      <c r="R16" s="3" t="n">
        <v>46333</v>
      </c>
      <c r="S16" s="4" t="inlineStr">
        <is>
          <t>7 días hábiles a favor</t>
        </is>
      </c>
      <c r="T16" s="3" t="n">
        <v>46323</v>
      </c>
      <c r="U16" s="4" t="inlineStr">
        <is>
          <t>TRK-INTL-1699</t>
        </is>
      </c>
      <c r="V16" s="4" t="inlineStr">
        <is>
          <t>En revisión aduanera</t>
        </is>
      </c>
      <c r="W16" s="5" t="n">
        <v>150</v>
      </c>
      <c r="X16" s="4" t="n"/>
      <c r="Y16" s="4" t="inlineStr">
        <is>
          <t>SOPORTE-PO-16.pdf</t>
        </is>
      </c>
      <c r="Z16" s="4" t="inlineStr">
        <is>
          <t>En proceso</t>
        </is>
      </c>
      <c r="AA16" s="4" t="inlineStr">
        <is>
          <t>Orden de prueba automática con 16 producto(s) (Internacional - En proceso).</t>
        </is>
      </c>
    </row>
    <row r="17">
      <c r="A17" s="3" t="n">
        <v>46323</v>
      </c>
      <c r="B17" s="4" t="inlineStr">
        <is>
          <t>PO-QA-16-ITEMS</t>
        </is>
      </c>
      <c r="C17" s="4" t="inlineStr">
        <is>
          <t>Corporación Aérea Escala (16 Productos)</t>
        </is>
      </c>
      <c r="D17" s="4" t="inlineStr">
        <is>
          <t>Tester QA Automático</t>
        </is>
      </c>
      <c r="E17" s="3" t="n">
        <v>46323</v>
      </c>
      <c r="F17" s="4" t="inlineStr">
        <is>
          <t>AeroSupplier Global #15</t>
        </is>
      </c>
      <c r="G17" s="4" t="inlineStr">
        <is>
          <t>PN-16-015</t>
        </is>
      </c>
      <c r="H17" s="4" t="inlineStr"/>
      <c r="I17" s="4" t="inlineStr">
        <is>
          <t>Componente Aeronáutico Certificado Línea #15 (PO de 16 ítems)</t>
        </is>
      </c>
      <c r="J17" s="4" t="inlineStr">
        <is>
          <t>UND</t>
        </is>
      </c>
      <c r="K17" s="4" t="n">
        <v>4</v>
      </c>
      <c r="L17" s="4" t="inlineStr">
        <is>
          <t>ENTREGADO</t>
        </is>
      </c>
      <c r="M17" s="4" t="inlineStr">
        <is>
          <t>Visa: $3,500.00, Transferencia: $6,500.00</t>
        </is>
      </c>
      <c r="N17" s="5" t="n">
        <v>1882.5</v>
      </c>
      <c r="O17" s="5">
        <f>K17*N17</f>
        <v/>
      </c>
      <c r="P17" s="4" t="n">
        <v>7</v>
      </c>
      <c r="Q17" s="5">
        <f>O17*(1+P17/100)+W17</f>
        <v/>
      </c>
      <c r="R17" s="3" t="n">
        <v>46333</v>
      </c>
      <c r="S17" s="4" t="inlineStr">
        <is>
          <t>7 días hábiles a favor</t>
        </is>
      </c>
      <c r="T17" s="3" t="n">
        <v>46323</v>
      </c>
      <c r="U17" s="4" t="inlineStr">
        <is>
          <t>TRK-INTL-1699</t>
        </is>
      </c>
      <c r="V17" s="4" t="inlineStr">
        <is>
          <t>En revisión aduanera</t>
        </is>
      </c>
      <c r="W17" s="5" t="n">
        <v>150</v>
      </c>
      <c r="X17" s="4" t="n"/>
      <c r="Y17" s="4" t="inlineStr">
        <is>
          <t>SOPORTE-PO-16.pdf</t>
        </is>
      </c>
      <c r="Z17" s="4" t="inlineStr">
        <is>
          <t>En proceso</t>
        </is>
      </c>
      <c r="AA17" s="4" t="inlineStr">
        <is>
          <t>Orden de prueba automática con 16 producto(s) (Internacional - En proceso).</t>
        </is>
      </c>
    </row>
    <row r="18">
      <c r="A18" s="3" t="n">
        <v>46323</v>
      </c>
      <c r="B18" s="4" t="inlineStr">
        <is>
          <t>PO-QA-16-ITEMS</t>
        </is>
      </c>
      <c r="C18" s="4" t="inlineStr">
        <is>
          <t>Corporación Aérea Escala (16 Productos)</t>
        </is>
      </c>
      <c r="D18" s="4" t="inlineStr">
        <is>
          <t>Tester QA Automático</t>
        </is>
      </c>
      <c r="E18" s="4" t="n"/>
      <c r="F18" s="4" t="inlineStr">
        <is>
          <t>AeroSupplier Global #16</t>
        </is>
      </c>
      <c r="G18" s="4" t="inlineStr">
        <is>
          <t>PN-16-016</t>
        </is>
      </c>
      <c r="H18" s="4" t="inlineStr">
        <is>
          <t>ALT-016</t>
        </is>
      </c>
      <c r="I18" s="4" t="inlineStr">
        <is>
          <t>Componente Aeronáutico Certificado Línea #16 (PO de 16 ítems)</t>
        </is>
      </c>
      <c r="J18" s="4" t="inlineStr">
        <is>
          <t>EA</t>
        </is>
      </c>
      <c r="K18" s="4" t="n">
        <v>1</v>
      </c>
      <c r="L18" s="4" t="inlineStr">
        <is>
          <t>PENDIENTE</t>
        </is>
      </c>
      <c r="M18" s="4" t="inlineStr">
        <is>
          <t>Visa: $3,500.00, Transferencia: $6,500.00</t>
        </is>
      </c>
      <c r="N18" s="5" t="n">
        <v>2008</v>
      </c>
      <c r="O18" s="5">
        <f>K18*N18</f>
        <v/>
      </c>
      <c r="P18" s="4" t="n">
        <v>7</v>
      </c>
      <c r="Q18" s="5">
        <f>O18*(1+P18/100)+W18</f>
        <v/>
      </c>
      <c r="R18" s="3" t="n">
        <v>46333</v>
      </c>
      <c r="S18" s="4" t="inlineStr">
        <is>
          <t>7 días hábiles a favor</t>
        </is>
      </c>
      <c r="T18" s="3" t="n">
        <v>46323</v>
      </c>
      <c r="U18" s="4" t="inlineStr">
        <is>
          <t>TRK-INTL-1699</t>
        </is>
      </c>
      <c r="V18" s="4" t="inlineStr">
        <is>
          <t>En revisión aduanera</t>
        </is>
      </c>
      <c r="W18" s="5" t="n">
        <v>150</v>
      </c>
      <c r="X18" s="4" t="n"/>
      <c r="Y18" s="4" t="inlineStr">
        <is>
          <t>SOPORTE-PO-16.pdf</t>
        </is>
      </c>
      <c r="Z18" s="4" t="inlineStr">
        <is>
          <t>En proceso</t>
        </is>
      </c>
      <c r="AA18" s="4" t="inlineStr">
        <is>
          <t>Orden de prueba automática con 16 producto(s) (Internacional - En proceso).</t>
        </is>
      </c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6" t="inlineStr">
        <is>
          <t>TOTALES PO PO-QA-16-ITEMS:</t>
        </is>
      </c>
      <c r="N19" s="4" t="n"/>
      <c r="O19" s="7">
        <f>SUM(O3:O18)</f>
        <v/>
      </c>
      <c r="P19" s="4" t="n"/>
      <c r="Q19" s="8">
        <f>SUM(Q3:Q18)</f>
        <v/>
      </c>
      <c r="R19" s="4" t="n"/>
      <c r="S19" s="4" t="n"/>
      <c r="T19" s="4" t="n"/>
      <c r="U19" s="4" t="n"/>
      <c r="V19" s="4" t="n"/>
      <c r="W19" s="8">
        <f>SUM(W3:W18)</f>
        <v/>
      </c>
      <c r="X19" s="4" t="n"/>
      <c r="Y19" s="4" t="n"/>
      <c r="Z19" s="4" t="n"/>
      <c r="AA19" s="4" t="n"/>
    </row>
  </sheetData>
  <mergeCells count="1"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2026-10-28T21:18:50Z</dcterms:created>
  <dcterms:modified xsi:type="dcterms:W3CDTF">2026-10-28T21:18:50Z</dcterms:modified>
</cp:coreProperties>
</file>