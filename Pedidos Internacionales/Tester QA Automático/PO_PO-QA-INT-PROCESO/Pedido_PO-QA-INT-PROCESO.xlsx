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002060"/>
    </font>
    <font>
      <b val="1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2563E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5" fontId="0" fillId="4" borderId="1" pivotButton="0" quotePrefix="0" xfId="0"/>
    <xf numFmtId="0" fontId="0" fillId="4" borderId="1" pivotButton="0" quotePrefix="0" xfId="0"/>
    <xf numFmtId="166" fontId="0" fillId="4" borderId="1" pivotButton="0" quotePrefix="0" xfId="0"/>
    <xf numFmtId="0" fontId="3" fillId="4" borderId="1" pivotButton="0" quotePrefix="0" xfId="0"/>
    <xf numFmtId="166" fontId="4" fillId="4" borderId="1" pivotButton="0" quotePrefix="0" xfId="0"/>
    <xf numFmtId="166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cols>
    <col width="18" customWidth="1" min="1" max="1"/>
    <col width="21.85" customWidth="1" min="2" max="2"/>
    <col width="18" customWidth="1" min="3" max="3"/>
    <col width="19" customWidth="1" min="4" max="4"/>
    <col width="30.4" customWidth="1" min="5" max="5"/>
    <col width="19.95" customWidth="1" min="6" max="6"/>
    <col width="27.55" customWidth="1" min="7" max="7"/>
    <col width="21.85" customWidth="1" min="8" max="8"/>
    <col width="25.65" customWidth="1" min="9" max="9"/>
    <col width="19" customWidth="1" min="10" max="10"/>
    <col width="18" customWidth="1" min="11" max="11"/>
    <col width="21.85" customWidth="1" min="12" max="12"/>
    <col width="18" customWidth="1" min="13" max="13"/>
    <col width="29.45" customWidth="1" min="14" max="14"/>
    <col width="19" customWidth="1" min="15" max="15"/>
    <col width="18" customWidth="1" min="16" max="16"/>
    <col width="33.25" customWidth="1" min="17" max="17"/>
    <col width="28.5" customWidth="1" min="18" max="18"/>
    <col width="25.65" customWidth="1" min="19" max="19"/>
    <col width="33.25" customWidth="1" min="20" max="20"/>
    <col width="18" customWidth="1" min="21" max="21"/>
    <col width="26.6" customWidth="1" min="22" max="22"/>
    <col width="33.25" customWidth="1" min="23" max="23"/>
    <col width="26.6" customWidth="1" min="24" max="24"/>
    <col width="18" customWidth="1" min="25" max="25"/>
    <col width="18" customWidth="1" min="26" max="26"/>
    <col width="18" customWidth="1" min="27" max="27"/>
  </cols>
  <sheetData>
    <row r="1" ht="28" customHeight="1">
      <c r="A1" s="1" t="inlineStr">
        <is>
          <t>CUADRO DE COMPRAS EN EL EXTERIOR FLY LOGISTIC 2026</t>
        </is>
      </c>
    </row>
    <row r="2" ht="30" customHeight="1">
      <c r="A2" s="2" t="inlineStr">
        <is>
          <t>1. Fecha inicial</t>
        </is>
      </c>
      <c r="B2" s="2" t="inlineStr">
        <is>
          <t>2. PO (Orden de compra)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/ Part Number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Estado del Producto</t>
        </is>
      </c>
      <c r="M2" s="2" t="inlineStr">
        <is>
          <t>13. Método de pago</t>
        </is>
      </c>
      <c r="N2" s="2" t="inlineStr">
        <is>
          <t>14. Precio unitario inicial ($)</t>
        </is>
      </c>
      <c r="O2" s="2" t="inlineStr">
        <is>
          <t>15. Precio total ($)</t>
        </is>
      </c>
      <c r="P2" s="2" t="inlineStr">
        <is>
          <t>16. TAX (7%) (%)</t>
        </is>
      </c>
      <c r="Q2" s="2" t="inlineStr">
        <is>
          <t>17. Valor después de TAX + Nac. ($)</t>
        </is>
      </c>
      <c r="R2" s="2" t="inlineStr">
        <is>
          <t>18. Plazo de entrega prometido</t>
        </is>
      </c>
      <c r="S2" s="2" t="inlineStr">
        <is>
          <t>19. Días Hábiles (Semáforo)</t>
        </is>
      </c>
      <c r="T2" s="2" t="inlineStr">
        <is>
          <t>20. Fecha de entrega warehouse EEUU</t>
        </is>
      </c>
      <c r="U2" s="2" t="inlineStr">
        <is>
          <t>21. Tracking</t>
        </is>
      </c>
      <c r="V2" s="2" t="inlineStr">
        <is>
          <t>22. Nacionalización (Estado)</t>
        </is>
      </c>
      <c r="W2" s="2" t="inlineStr">
        <is>
          <t>23. Valor de la nacionalización ($)</t>
        </is>
      </c>
      <c r="X2" s="2" t="inlineStr">
        <is>
          <t>24. Fecha de Nacionalización</t>
        </is>
      </c>
      <c r="Y2" s="2" t="inlineStr">
        <is>
          <t>25. Documentación</t>
        </is>
      </c>
      <c r="Z2" s="2" t="inlineStr">
        <is>
          <t>26. Estado PO</t>
        </is>
      </c>
      <c r="AA2" s="2" t="inlineStr">
        <is>
          <t>27. Observaciones</t>
        </is>
      </c>
    </row>
    <row r="3">
      <c r="A3" s="3" t="n">
        <v>46311</v>
      </c>
      <c r="B3" s="4" t="inlineStr">
        <is>
          <t>PO-QA-INT-PROCESO</t>
        </is>
      </c>
      <c r="C3" s="4" t="inlineStr">
        <is>
          <t>Florida Jet Support LLC</t>
        </is>
      </c>
      <c r="D3" s="4" t="inlineStr">
        <is>
          <t>Tester QA Automático</t>
        </is>
      </c>
      <c r="E3" s="3" t="n">
        <v>46313</v>
      </c>
      <c r="F3" s="4" t="inlineStr">
        <is>
          <t>Miami Aero Parts Inc</t>
        </is>
      </c>
      <c r="G3" s="4" t="inlineStr">
        <is>
          <t>PN-MIA-770</t>
        </is>
      </c>
      <c r="H3" s="4" t="inlineStr">
        <is>
          <t>ALT-770</t>
        </is>
      </c>
      <c r="I3" s="4" t="inlineStr">
        <is>
          <t>Kit de sellos de motor CFM56</t>
        </is>
      </c>
      <c r="J3" s="4" t="inlineStr">
        <is>
          <t>KIT</t>
        </is>
      </c>
      <c r="K3" s="4" t="n">
        <v>1</v>
      </c>
      <c r="L3" s="4" t="inlineStr">
        <is>
          <t>LLEGADO FLY</t>
        </is>
      </c>
      <c r="M3" s="4" t="inlineStr">
        <is>
          <t>PayPal: $4,000.00, Transferencia: $3,295.00</t>
        </is>
      </c>
      <c r="N3" s="5" t="n">
        <v>6238.32</v>
      </c>
      <c r="O3" s="5">
        <f>K3*N3</f>
        <v/>
      </c>
      <c r="P3" s="4" t="n">
        <v>7</v>
      </c>
      <c r="Q3" s="5">
        <f>O3*(1+P3/100)+W3</f>
        <v/>
      </c>
      <c r="R3" s="3" t="n">
        <v>46319</v>
      </c>
      <c r="S3" s="4" t="inlineStr">
        <is>
          <t>2 días en contra</t>
        </is>
      </c>
      <c r="T3" s="3" t="n">
        <v>46318</v>
      </c>
      <c r="U3" s="4" t="inlineStr">
        <is>
          <t>1Z999AA10123456784</t>
        </is>
      </c>
      <c r="V3" s="4" t="inlineStr">
        <is>
          <t>Pago de aranceles</t>
        </is>
      </c>
      <c r="W3" s="5" t="n">
        <v>620</v>
      </c>
      <c r="X3" s="4" t="n"/>
      <c r="Y3" s="4" t="inlineStr"/>
      <c r="Z3" s="4" t="inlineStr">
        <is>
          <t>En proceso</t>
        </is>
      </c>
      <c r="AA3" s="4" t="inlineStr">
        <is>
          <t>Orden internacional en aduana con días en contra.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6" t="inlineStr">
        <is>
          <t>TOTALES PO PO-QA-INT-PROCESO:</t>
        </is>
      </c>
      <c r="N4" s="4" t="n"/>
      <c r="O4" s="7">
        <f>SUM(O3:O3)</f>
        <v/>
      </c>
      <c r="P4" s="4" t="n"/>
      <c r="Q4" s="8">
        <f>SUM(Q3:Q3)</f>
        <v/>
      </c>
      <c r="R4" s="4" t="n"/>
      <c r="S4" s="4" t="n"/>
      <c r="T4" s="4" t="n"/>
      <c r="U4" s="4" t="n"/>
      <c r="V4" s="4" t="n"/>
      <c r="W4" s="8">
        <f>SUM(W3:W3)</f>
        <v/>
      </c>
      <c r="X4" s="4" t="n"/>
      <c r="Y4" s="4" t="n"/>
      <c r="Z4" s="4" t="n"/>
      <c r="AA4" s="4" t="n"/>
    </row>
  </sheetData>
  <mergeCells count="1">
    <mergeCell ref="A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2026-10-28T21:18:49Z</dcterms:created>
  <dcterms:modified xsi:type="dcterms:W3CDTF">2026-10-28T21:18:49Z</dcterms:modified>
</cp:coreProperties>
</file>