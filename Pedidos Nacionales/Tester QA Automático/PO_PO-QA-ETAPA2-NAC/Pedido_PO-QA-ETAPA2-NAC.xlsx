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26.6" customWidth="1" min="17" max="17"/>
    <col width="28.5" customWidth="1" min="18" max="18"/>
    <col width="25.65" customWidth="1" min="19" max="19"/>
    <col width="29.45" customWidth="1" min="20" max="20"/>
    <col width="20.9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A1" s="1" t="inlineStr">
        <is>
          <t>CUADRO DE COMPRAS NACIONALES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IVA (19%) (%)</t>
        </is>
      </c>
      <c r="Q2" s="2" t="inlineStr">
        <is>
          <t>17. Valor después de IVA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al cliente</t>
        </is>
      </c>
      <c r="U2" s="2" t="inlineStr">
        <is>
          <t>21. Número de remisión</t>
        </is>
      </c>
      <c r="V2" s="2" t="inlineStr">
        <is>
          <t>22. Documentación</t>
        </is>
      </c>
      <c r="W2" s="2" t="inlineStr">
        <is>
          <t>23. Estado PO</t>
        </is>
      </c>
      <c r="X2" s="2" t="inlineStr">
        <is>
          <t>24. Observaciones</t>
        </is>
      </c>
    </row>
    <row r="3">
      <c r="A3" s="3" t="n">
        <v>46320</v>
      </c>
      <c r="B3" s="4" t="inlineStr">
        <is>
          <t>PO-QA-ETAPA2-NAC</t>
        </is>
      </c>
      <c r="C3" s="4" t="inlineStr">
        <is>
          <t>AeroAndina S.A.S. (Etapa 2 En Movimiento)</t>
        </is>
      </c>
      <c r="D3" s="4" t="inlineStr">
        <is>
          <t>Tester QA Automático</t>
        </is>
      </c>
      <c r="E3" s="3" t="n">
        <v>46323</v>
      </c>
      <c r="F3" s="4" t="inlineStr">
        <is>
          <t>Distribuidora Aeronáutica Bogotá</t>
        </is>
      </c>
      <c r="G3" s="4" t="inlineStr">
        <is>
          <t>PN-MOV-101</t>
        </is>
      </c>
      <c r="H3" s="4" t="inlineStr">
        <is>
          <t>ALT-MOV-1</t>
        </is>
      </c>
      <c r="I3" s="4" t="inlineStr">
        <is>
          <t>Actuador hidráulico de tren</t>
        </is>
      </c>
      <c r="J3" s="4" t="inlineStr">
        <is>
          <t>UND</t>
        </is>
      </c>
      <c r="K3" s="4" t="n">
        <v>1</v>
      </c>
      <c r="L3" s="4" t="inlineStr">
        <is>
          <t>DESPACHADO</t>
        </is>
      </c>
      <c r="M3" s="4" t="inlineStr">
        <is>
          <t>Visa: $2,000.00, Transferencia: $1,808.00</t>
        </is>
      </c>
      <c r="N3" s="5" t="n">
        <v>2200</v>
      </c>
      <c r="O3" s="5">
        <f>K3*N3</f>
        <v/>
      </c>
      <c r="P3" s="4" t="n">
        <v>19</v>
      </c>
      <c r="Q3" s="5">
        <f>O3*(1+P3/100)</f>
        <v/>
      </c>
      <c r="R3" s="3" t="n">
        <v>46333</v>
      </c>
      <c r="S3" s="4" t="inlineStr">
        <is>
          <t>7 días hábiles a favor</t>
        </is>
      </c>
      <c r="T3" s="4" t="n"/>
      <c r="U3" s="4" t="inlineStr"/>
      <c r="V3" s="4" t="inlineStr"/>
      <c r="W3" s="4" t="inlineStr">
        <is>
          <t>En proceso</t>
        </is>
      </c>
      <c r="X3" s="4" t="inlineStr">
        <is>
          <t>Etapa 2: Orden en movimiento con compra a proveedor registrada.</t>
        </is>
      </c>
    </row>
    <row r="4">
      <c r="A4" s="3" t="n">
        <v>46320</v>
      </c>
      <c r="B4" s="4" t="inlineStr">
        <is>
          <t>PO-QA-ETAPA2-NAC</t>
        </is>
      </c>
      <c r="C4" s="4" t="inlineStr">
        <is>
          <t>AeroAndina S.A.S. (Etapa 2 En Movimiento)</t>
        </is>
      </c>
      <c r="D4" s="4" t="inlineStr">
        <is>
          <t>Tester QA Automático</t>
        </is>
      </c>
      <c r="E4" s="3" t="n">
        <v>46323</v>
      </c>
      <c r="F4" s="4" t="inlineStr">
        <is>
          <t>Componentes Aero Medellin</t>
        </is>
      </c>
      <c r="G4" s="4" t="inlineStr">
        <is>
          <t>PN-MOV-102</t>
        </is>
      </c>
      <c r="H4" s="4" t="inlineStr"/>
      <c r="I4" s="4" t="inlineStr">
        <is>
          <t>Sensor de temperatura EGT</t>
        </is>
      </c>
      <c r="J4" s="4" t="inlineStr">
        <is>
          <t>EA</t>
        </is>
      </c>
      <c r="K4" s="4" t="n">
        <v>2</v>
      </c>
      <c r="L4" s="4" t="inlineStr">
        <is>
          <t>EN FLY</t>
        </is>
      </c>
      <c r="M4" s="4" t="inlineStr">
        <is>
          <t>Visa: $2,000.00, Transferencia: $1,808.00</t>
        </is>
      </c>
      <c r="N4" s="5" t="n">
        <v>500</v>
      </c>
      <c r="O4" s="5">
        <f>K4*N4</f>
        <v/>
      </c>
      <c r="P4" s="4" t="n">
        <v>19</v>
      </c>
      <c r="Q4" s="5">
        <f>O4*(1+P4/100)</f>
        <v/>
      </c>
      <c r="R4" s="3" t="n">
        <v>46333</v>
      </c>
      <c r="S4" s="4" t="inlineStr">
        <is>
          <t>7 días hábiles a favor</t>
        </is>
      </c>
      <c r="T4" s="4" t="n"/>
      <c r="U4" s="4" t="inlineStr"/>
      <c r="V4" s="4" t="inlineStr"/>
      <c r="W4" s="4" t="inlineStr">
        <is>
          <t>En proceso</t>
        </is>
      </c>
      <c r="X4" s="4" t="inlineStr">
        <is>
          <t>Etapa 2: Orden en movimiento con compra a proveedor registrada.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6" t="inlineStr">
        <is>
          <t>TOTALES PO PO-QA-ETAPA2-NAC:</t>
        </is>
      </c>
      <c r="N5" s="4" t="n"/>
      <c r="O5" s="7">
        <f>SUM(O3:O4)</f>
        <v/>
      </c>
      <c r="P5" s="4" t="n"/>
      <c r="Q5" s="8">
        <f>SUM(Q3:Q4)</f>
        <v/>
      </c>
      <c r="R5" s="4" t="n"/>
      <c r="S5" s="4" t="n"/>
      <c r="T5" s="4" t="n"/>
      <c r="U5" s="4" t="n"/>
      <c r="V5" s="4" t="n"/>
      <c r="W5" s="4" t="n"/>
      <c r="X5" s="4" t="n"/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2026-10-28T21:18:49Z</dcterms:created>
  <dcterms:modified xsi:type="dcterms:W3CDTF">2026-10-28T21:18:49Z</dcterms:modified>
</cp:coreProperties>
</file>