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46315</v>
      </c>
      <c r="B3" s="4" t="inlineStr">
        <is>
          <t>PO-QA-ETAPA3-NAC</t>
        </is>
      </c>
      <c r="C3" s="4" t="inlineStr">
        <is>
          <t>AeroAndina S.A.S. (Etapa 3 Entregado)</t>
        </is>
      </c>
      <c r="D3" s="4" t="inlineStr">
        <is>
          <t>Tester QA Automático</t>
        </is>
      </c>
      <c r="E3" s="3" t="n">
        <v>46316</v>
      </c>
      <c r="F3" s="4" t="inlineStr">
        <is>
          <t>Avionics Colombia SAS</t>
        </is>
      </c>
      <c r="G3" s="4" t="inlineStr">
        <is>
          <t>PN-ENT-301</t>
        </is>
      </c>
      <c r="H3" s="4" t="inlineStr">
        <is>
          <t>ALT-301</t>
        </is>
      </c>
      <c r="I3" s="4" t="inlineStr">
        <is>
          <t>Unidad de control de combustible FCU</t>
        </is>
      </c>
      <c r="J3" s="4" t="inlineStr">
        <is>
          <t>UND</t>
        </is>
      </c>
      <c r="K3" s="4" t="n">
        <v>1</v>
      </c>
      <c r="L3" s="4" t="inlineStr">
        <is>
          <t>ENTREGADO</t>
        </is>
      </c>
      <c r="M3" s="4" t="inlineStr">
        <is>
          <t>Visa: $1,500.00, American: $1,475.00</t>
        </is>
      </c>
      <c r="N3" s="5" t="n">
        <v>2500</v>
      </c>
      <c r="O3" s="5">
        <f>K3*N3</f>
        <v/>
      </c>
      <c r="P3" s="4" t="n">
        <v>19</v>
      </c>
      <c r="Q3" s="5">
        <f>O3*(1+P3/100)</f>
        <v/>
      </c>
      <c r="R3" s="3" t="n">
        <v>46322</v>
      </c>
      <c r="S3" s="4" t="inlineStr">
        <is>
          <t>1 día en contra</t>
        </is>
      </c>
      <c r="T3" s="3" t="n">
        <v>46323</v>
      </c>
      <c r="U3" s="4" t="inlineStr">
        <is>
          <t>REM-NAC-2026-099</t>
        </is>
      </c>
      <c r="V3" s="4" t="inlineStr">
        <is>
          <t>Factura FAC-9901 / Packing Slip firmado</t>
        </is>
      </c>
      <c r="W3" s="4" t="inlineStr">
        <is>
          <t>Entregado</t>
        </is>
      </c>
      <c r="X3" s="4" t="inlineStr">
        <is>
          <t>Etapa 3: Orden 100% entregada al cliente con remisión.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6" t="inlineStr">
        <is>
          <t>TOTALES PO PO-QA-ETAPA3-NAC:</t>
        </is>
      </c>
      <c r="N4" s="4" t="n"/>
      <c r="O4" s="7">
        <f>SUM(O3:O3)</f>
        <v/>
      </c>
      <c r="P4" s="4" t="n"/>
      <c r="Q4" s="8">
        <f>SUM(Q3:Q3)</f>
        <v/>
      </c>
      <c r="R4" s="4" t="n"/>
      <c r="S4" s="4" t="n"/>
      <c r="T4" s="4" t="n"/>
      <c r="U4" s="4" t="n"/>
      <c r="V4" s="4" t="n"/>
      <c r="W4" s="4" t="n"/>
      <c r="X4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